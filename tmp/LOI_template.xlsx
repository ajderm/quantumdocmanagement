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2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ytom.sharepoint.com/Shared Documents/Sales/Lubbock Sales/Leasing/"/>
    </mc:Choice>
  </mc:AlternateContent>
  <xr:revisionPtr revIDLastSave="0" documentId="8_{960B9DD4-EB99-49CB-9661-3956B742243D}" xr6:coauthVersionLast="47" xr6:coauthVersionMax="47" xr10:uidLastSave="{00000000-0000-0000-0000-000000000000}"/>
  <bookViews>
    <workbookView xWindow="-120" yWindow="-120" windowWidth="29040" windowHeight="15720" tabRatio="919" firstSheet="5" activeTab="5" xr2:uid="{00000000-000D-0000-FFFF-FFFF00000000}"/>
  </bookViews>
  <sheets>
    <sheet name="Checklist" sheetId="18" state="hidden" r:id="rId1"/>
    <sheet name="Account Info-DO NOT DELETE" sheetId="19" state="hidden" r:id="rId2"/>
    <sheet name="Equip. Info-DO NOT DELETE" sheetId="20" state="hidden" r:id="rId3"/>
    <sheet name="Financial Info-DO NOT DELETE" sheetId="27" state="hidden" r:id="rId4"/>
    <sheet name="Sales Order Add." sheetId="16" state="hidden" r:id="rId5"/>
    <sheet name="Letter of Intent" sheetId="32" r:id="rId6"/>
  </sheets>
  <definedNames>
    <definedName name="accitem">'Equip. Info-DO NOT DELETE'!$D$16</definedName>
    <definedName name="addcharges">'Financial Info-DO NOT DELETE'!$H$13</definedName>
    <definedName name="address">'Account Info-DO NOT DELETE'!$B$21</definedName>
    <definedName name="addressste">'Account Info-DO NOT DELETE'!$B$22</definedName>
    <definedName name="base">'Financial Info-DO NOT DELETE'!$C$22</definedName>
    <definedName name="basecolor">'Financial Info-DO NOT DELETE'!$D$22</definedName>
    <definedName name="billaddress">'Account Info-DO NOT DELETE'!$D$21</definedName>
    <definedName name="billcity">'Account Info-DO NOT DELETE'!$D$23</definedName>
    <definedName name="billcontact">'Account Info-DO NOT DELETE'!$D$29</definedName>
    <definedName name="billemail">'Account Info-DO NOT DELETE'!$D$30</definedName>
    <definedName name="billfax">'Account Info-DO NOT DELETE'!$D$28</definedName>
    <definedName name="billname">'Account Info-DO NOT DELETE'!$D$20</definedName>
    <definedName name="billphone">'Account Info-DO NOT DELETE'!$D$27</definedName>
    <definedName name="billstate">'Account Info-DO NOT DELETE'!$D$25</definedName>
    <definedName name="billzip">'Account Info-DO NOT DELETE'!$D$26</definedName>
    <definedName name="city">'Account Info-DO NOT DELETE'!$B$23</definedName>
    <definedName name="clrpntvoladded">'Financial Info-DO NOT DELETE'!$D$30</definedName>
    <definedName name="clrprintrate">'Financial Info-DO NOT DELETE'!$D$28</definedName>
    <definedName name="clrprintssercharges">'Financial Info-DO NOT DELETE'!$D$29</definedName>
    <definedName name="colorcpp">'Financial Info-DO NOT DELETE'!$D$23</definedName>
    <definedName name="colorleasepayment">'Financial Info-DO NOT DELETE'!$D$25</definedName>
    <definedName name="coloroverage">'Financial Info-DO NOT DELETE'!$D$20</definedName>
    <definedName name="colorsaleprice">'Financial Info-DO NOT DELETE'!$D$24</definedName>
    <definedName name="companyname">'Account Info-DO NOT DELETE'!$B$20</definedName>
    <definedName name="connectivityfee">'Financial Info-DO NOT DELETE'!$H$15</definedName>
    <definedName name="copiercpc">'Financial Info-DO NOT DELETE'!$C$23</definedName>
    <definedName name="cost">'Equip. Info-DO NOT DELETE'!$J$16</definedName>
    <definedName name="CostModel">'Equip. Info-DO NOT DELETE'!$AF$16</definedName>
    <definedName name="county">'Account Info-DO NOT DELETE'!$B$24</definedName>
    <definedName name="csands">'Financial Info-DO NOT DELETE'!$D$19</definedName>
    <definedName name="csandspay">'Financial Info-DO NOT DELETE'!$D$21</definedName>
    <definedName name="customer_number">'Account Info-DO NOT DELETE'!$B$16</definedName>
    <definedName name="cvolume2">'Financial Info-DO NOT DELETE'!$D$26</definedName>
    <definedName name="dealershipaddress">'Account Info-DO NOT DELETE'!$C$2</definedName>
    <definedName name="dealershipcitystatezip">'Account Info-DO NOT DELETE'!$C$3</definedName>
    <definedName name="dealershipname">'Account Info-DO NOT DELETE'!$D$1</definedName>
    <definedName name="description">'Equip. Info-DO NOT DELETE'!$C$16</definedName>
    <definedName name="DescriptionModel">'Equip. Info-DO NOT DELETE'!$Z$16</definedName>
    <definedName name="emailname">'Account Info-DO NOT DELETE'!$B$30</definedName>
    <definedName name="faxnumber">'Account Info-DO NOT DELETE'!$B$28</definedName>
    <definedName name="installcharges">'Financial Info-DO NOT DELETE'!$H$14</definedName>
    <definedName name="item">'Equip. Info-DO NOT DELETE'!$G$16</definedName>
    <definedName name="leasecompany">'Account Info-DO NOT DELETE'!$B$68</definedName>
    <definedName name="leasemonths">'Financial Info-DO NOT DELETE'!$D$15</definedName>
    <definedName name="leasepayment">'Financial Info-DO NOT DELETE'!$C$25</definedName>
    <definedName name="leaserate">'Financial Info-DO NOT DELETE'!$D$13</definedName>
    <definedName name="leasetype">'Financial Info-DO NOT DELETE'!$D$14</definedName>
    <definedName name="modelnum">'Equip. Info-DO NOT DELETE'!$B$16</definedName>
    <definedName name="ModelNumModel">'Equip. Info-DO NOT DELETE'!$Y$16</definedName>
    <definedName name="modelonly">#REF!</definedName>
    <definedName name="overage">'Financial Info-DO NOT DELETE'!$C$20</definedName>
    <definedName name="pntvoladded">'Financial Info-DO NOT DELETE'!$C$30</definedName>
    <definedName name="postalcode">'Account Info-DO NOT DELETE'!$B$26</definedName>
    <definedName name="preparedby">'Account Info-DO NOT DELETE'!$B$12</definedName>
    <definedName name="_xlnm.Print_Area" localSheetId="1">'Account Info-DO NOT DELETE'!$A$1:$D$120</definedName>
    <definedName name="_xlnm.Print_Area" localSheetId="2">'Equip. Info-DO NOT DELETE'!$A$1:$K$68</definedName>
    <definedName name="_xlnm.Print_Area" localSheetId="3">'Financial Info-DO NOT DELETE'!$A$1:$I$36</definedName>
    <definedName name="printrate">'Financial Info-DO NOT DELETE'!$C$28</definedName>
    <definedName name="printssercharges">'Financial Info-DO NOT DELETE'!$C$29</definedName>
    <definedName name="productnum">'Equip. Info-DO NOT DELETE'!$E$16</definedName>
    <definedName name="ProductNumModel">'Equip. Info-DO NOT DELETE'!$AA$16</definedName>
    <definedName name="proposecontact">'Account Info-DO NOT DELETE'!$B$29</definedName>
    <definedName name="quantity">'Equip. Info-DO NOT DELETE'!$A$16</definedName>
    <definedName name="QuantityModel">'Equip. Info-DO NOT DELETE'!$X$16</definedName>
    <definedName name="saleprice">'Financial Info-DO NOT DELETE'!$C$24</definedName>
    <definedName name="servicesupplyrate">'Financial Info-DO NOT DELETE'!$C$19</definedName>
    <definedName name="sku">'Equip. Info-DO NOT DELETE'!$F$16</definedName>
    <definedName name="SKUModel">'Equip. Info-DO NOT DELETE'!$AB$16</definedName>
    <definedName name="Start">Checklist!$B$14</definedName>
    <definedName name="stateorprovince">'Account Info-DO NOT DELETE'!$B$25</definedName>
    <definedName name="sumbwsvcpayment">'Financial Info-DO NOT DELETE'!$H$20</definedName>
    <definedName name="sumcolorsvcpayment">'Financial Info-DO NOT DELETE'!$H$21</definedName>
    <definedName name="sumgpmargin">'Financial Info-DO NOT DELETE'!$H$25</definedName>
    <definedName name="sumgrossprofit">'Financial Info-DO NOT DELETE'!$H$24</definedName>
    <definedName name="sumleasepayment">'Financial Info-DO NOT DELETE'!$H$19</definedName>
    <definedName name="sumsaleprice">'Financial Info-DO NOT DELETE'!$H$18</definedName>
    <definedName name="sumtotalpayment">'Financial Info-DO NOT DELETE'!$H$22</definedName>
    <definedName name="sumtotrevenue">'Financial Info-DO NOT DELETE'!$H$23</definedName>
    <definedName name="totalratepayment">'Financial Info-DO NOT DELETE'!$C$21</definedName>
    <definedName name="unitmsrp">'Equip. Info-DO NOT DELETE'!$H$16</definedName>
    <definedName name="UnitMSRPModel">'Equip. Info-DO NOT DELETE'!$AD$16</definedName>
    <definedName name="volume2">'Financial Info-DO NOT DELETE'!$C$26</definedName>
    <definedName name="workphone">'Account Info-DO NOT DELETE'!$B$27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2" i="32" l="1"/>
  <c r="A26" i="32"/>
  <c r="A44" i="32"/>
  <c r="D33" i="32"/>
  <c r="A25" i="32" l="1"/>
  <c r="A45" i="32" l="1"/>
  <c r="AF68" i="20" l="1"/>
  <c r="AD68" i="20"/>
  <c r="AG67" i="20"/>
  <c r="AE67" i="20"/>
  <c r="AG66" i="20"/>
  <c r="AE66" i="20"/>
  <c r="AG65" i="20"/>
  <c r="AE65" i="20"/>
  <c r="AG64" i="20"/>
  <c r="AE64" i="20"/>
  <c r="AG63" i="20"/>
  <c r="AE63" i="20"/>
  <c r="AG62" i="20"/>
  <c r="AE62" i="20"/>
  <c r="AG61" i="20"/>
  <c r="AE61" i="20"/>
  <c r="AG60" i="20"/>
  <c r="AE60" i="20"/>
  <c r="AG59" i="20"/>
  <c r="AE59" i="20"/>
  <c r="AG58" i="20"/>
  <c r="AE58" i="20"/>
  <c r="AG57" i="20"/>
  <c r="AE57" i="20"/>
  <c r="AG56" i="20"/>
  <c r="AE56" i="20"/>
  <c r="AG55" i="20"/>
  <c r="AE55" i="20"/>
  <c r="AG54" i="20"/>
  <c r="AE54" i="20"/>
  <c r="AG53" i="20"/>
  <c r="AE53" i="20"/>
  <c r="AG52" i="20"/>
  <c r="AE52" i="20"/>
  <c r="AG51" i="20"/>
  <c r="AE51" i="20"/>
  <c r="AG50" i="20"/>
  <c r="AE50" i="20"/>
  <c r="AG49" i="20"/>
  <c r="AE49" i="20"/>
  <c r="AG48" i="20"/>
  <c r="AE48" i="20"/>
  <c r="AG47" i="20"/>
  <c r="AE47" i="20"/>
  <c r="AG46" i="20"/>
  <c r="AE46" i="20"/>
  <c r="AG45" i="20"/>
  <c r="AE45" i="20"/>
  <c r="AG44" i="20"/>
  <c r="AE44" i="20"/>
  <c r="AG43" i="20"/>
  <c r="AE43" i="20"/>
  <c r="AG42" i="20"/>
  <c r="AE42" i="20"/>
  <c r="AG41" i="20"/>
  <c r="AE41" i="20"/>
  <c r="AG40" i="20"/>
  <c r="AE40" i="20"/>
  <c r="AG39" i="20"/>
  <c r="AE39" i="20"/>
  <c r="AG38" i="20"/>
  <c r="AE38" i="20"/>
  <c r="AG37" i="20"/>
  <c r="AE37" i="20"/>
  <c r="AG36" i="20"/>
  <c r="AE36" i="20"/>
  <c r="AG35" i="20"/>
  <c r="AE35" i="20"/>
  <c r="AG34" i="20"/>
  <c r="AE34" i="20"/>
  <c r="AG33" i="20"/>
  <c r="AE33" i="20"/>
  <c r="AG32" i="20"/>
  <c r="AE32" i="20"/>
  <c r="AG31" i="20"/>
  <c r="AE31" i="20"/>
  <c r="AG30" i="20"/>
  <c r="AE30" i="20"/>
  <c r="AG29" i="20"/>
  <c r="AE29" i="20"/>
  <c r="AG28" i="20"/>
  <c r="AE28" i="20"/>
  <c r="AG27" i="20"/>
  <c r="AE27" i="20"/>
  <c r="AG26" i="20"/>
  <c r="AE26" i="20"/>
  <c r="AG25" i="20"/>
  <c r="AE25" i="20"/>
  <c r="AG24" i="20"/>
  <c r="AE24" i="20"/>
  <c r="AG23" i="20"/>
  <c r="AE23" i="20"/>
  <c r="AG22" i="20"/>
  <c r="AE22" i="20"/>
  <c r="AG21" i="20"/>
  <c r="AE21" i="20"/>
  <c r="AG20" i="20"/>
  <c r="AE20" i="20"/>
  <c r="AG19" i="20"/>
  <c r="AE19" i="20"/>
  <c r="AG18" i="20"/>
  <c r="AE18" i="20"/>
  <c r="AG17" i="20"/>
  <c r="AE17" i="20"/>
  <c r="AG16" i="20"/>
  <c r="AE16" i="20"/>
  <c r="D37" i="19"/>
  <c r="D22" i="19"/>
  <c r="D24" i="19"/>
  <c r="B15" i="19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B73" i="19"/>
  <c r="B72" i="19"/>
  <c r="B70" i="19"/>
  <c r="C16" i="16"/>
  <c r="C17" i="16"/>
  <c r="C15" i="16"/>
  <c r="C14" i="16"/>
  <c r="B16" i="16"/>
  <c r="B17" i="16"/>
  <c r="B15" i="16"/>
  <c r="B14" i="16"/>
  <c r="A16" i="16"/>
  <c r="A17" i="16"/>
  <c r="A15" i="16"/>
  <c r="A14" i="16"/>
  <c r="K18" i="20"/>
  <c r="K19" i="20"/>
  <c r="J68" i="20"/>
  <c r="K17" i="20"/>
  <c r="K16" i="20"/>
  <c r="D23" i="19"/>
  <c r="D26" i="19"/>
  <c r="E24" i="27"/>
  <c r="D21" i="19"/>
  <c r="E29" i="27"/>
  <c r="E25" i="27"/>
  <c r="I16" i="20"/>
  <c r="I17" i="20"/>
  <c r="I18" i="20"/>
  <c r="I19" i="20"/>
  <c r="H68" i="20"/>
  <c r="B14" i="19"/>
  <c r="I68" i="20" l="1"/>
  <c r="K68" i="20"/>
  <c r="AG68" i="20"/>
  <c r="AE68" i="20"/>
</calcChain>
</file>

<file path=xl/sharedStrings.xml><?xml version="1.0" encoding="utf-8"?>
<sst xmlns="http://schemas.openxmlformats.org/spreadsheetml/2006/main" count="271" uniqueCount="227">
  <si>
    <t>Employee Information</t>
  </si>
  <si>
    <t>Billing County</t>
  </si>
  <si>
    <t>Billing City</t>
  </si>
  <si>
    <t>Equipment Details</t>
  </si>
  <si>
    <t>Make/Model</t>
  </si>
  <si>
    <t>Lease Payment</t>
  </si>
  <si>
    <t>Product Number</t>
  </si>
  <si>
    <t>Description</t>
  </si>
  <si>
    <t>Lease Term</t>
  </si>
  <si>
    <t>Sale Price</t>
  </si>
  <si>
    <t>Address</t>
  </si>
  <si>
    <t>City</t>
  </si>
  <si>
    <t>State</t>
  </si>
  <si>
    <t>Email</t>
  </si>
  <si>
    <t>Lease Rate</t>
  </si>
  <si>
    <t>Total Sale Price</t>
  </si>
  <si>
    <t>Sales Rep</t>
  </si>
  <si>
    <t>Date</t>
  </si>
  <si>
    <t xml:space="preserve"> </t>
  </si>
  <si>
    <t>Connected</t>
  </si>
  <si>
    <t>Total MSRP</t>
  </si>
  <si>
    <t>Contact:</t>
  </si>
  <si>
    <t>Model</t>
  </si>
  <si>
    <t>Shipping Costs</t>
  </si>
  <si>
    <t>Install/Delivery Costs</t>
  </si>
  <si>
    <t>IT Professional Services</t>
  </si>
  <si>
    <t>Other Sales Fees</t>
  </si>
  <si>
    <t>Lease Company</t>
  </si>
  <si>
    <t>Promo Discounts</t>
  </si>
  <si>
    <t xml:space="preserve">Buyout/TradeUp </t>
  </si>
  <si>
    <t>Buyer</t>
  </si>
  <si>
    <t>P.O. #</t>
  </si>
  <si>
    <t>Lead Fee or Split</t>
  </si>
  <si>
    <t>Connectivity</t>
  </si>
  <si>
    <t>County</t>
  </si>
  <si>
    <t>Sales Order Checklist</t>
  </si>
  <si>
    <t>Sales Rep Number</t>
  </si>
  <si>
    <t>Sales Order Date</t>
  </si>
  <si>
    <t>Order Form Information</t>
  </si>
  <si>
    <t>Install Info</t>
  </si>
  <si>
    <t>Billing / Invoice Info</t>
  </si>
  <si>
    <t>Company Name</t>
  </si>
  <si>
    <t>Billing State</t>
  </si>
  <si>
    <t>Zipcode</t>
  </si>
  <si>
    <t>Billing Zipcode</t>
  </si>
  <si>
    <t>Phone Number</t>
  </si>
  <si>
    <t>Fax Number</t>
  </si>
  <si>
    <t>Delivery Info</t>
  </si>
  <si>
    <t>Requested Delivery Day</t>
  </si>
  <si>
    <t>Time</t>
  </si>
  <si>
    <t>Networked</t>
  </si>
  <si>
    <t>Stand Alone</t>
  </si>
  <si>
    <t>Qty</t>
  </si>
  <si>
    <t>MSRP</t>
  </si>
  <si>
    <t>Rep Cost</t>
  </si>
  <si>
    <t>Total Rep Cost</t>
  </si>
  <si>
    <t>Account Details</t>
  </si>
  <si>
    <t>Lease Type</t>
  </si>
  <si>
    <t>Total Lease Payment</t>
  </si>
  <si>
    <t>Bundled Lease/Service Payment</t>
  </si>
  <si>
    <t>Total GP Margin</t>
  </si>
  <si>
    <t>Lease Information</t>
  </si>
  <si>
    <t>Optional Fees/Charges</t>
  </si>
  <si>
    <t>Monthly Service Payment</t>
  </si>
  <si>
    <t>Overage Rate</t>
  </si>
  <si>
    <t>Base</t>
  </si>
  <si>
    <t>Bundled Info</t>
  </si>
  <si>
    <t>CPP</t>
  </si>
  <si>
    <t>Total Black Service</t>
  </si>
  <si>
    <t>Total Color Service</t>
  </si>
  <si>
    <t>Contracted Volume</t>
  </si>
  <si>
    <t>Monthly Service</t>
  </si>
  <si>
    <t>Installation</t>
  </si>
  <si>
    <t>None</t>
  </si>
  <si>
    <t>Service &amp; Financial Details</t>
  </si>
  <si>
    <t>Item Code/Number</t>
  </si>
  <si>
    <t>Make</t>
  </si>
  <si>
    <t>End Meter</t>
  </si>
  <si>
    <t>Serial #</t>
  </si>
  <si>
    <t>Commission Percentage</t>
  </si>
  <si>
    <t>Manufacturer Number</t>
  </si>
  <si>
    <t>Total Revenue Rep</t>
  </si>
  <si>
    <t>Total GP</t>
  </si>
  <si>
    <t xml:space="preserve">Make sure all worksheets are filled out accurately and completely.  </t>
  </si>
  <si>
    <t>Phone:</t>
  </si>
  <si>
    <t>Today's Date</t>
  </si>
  <si>
    <t xml:space="preserve">   Additional Information</t>
  </si>
  <si>
    <t xml:space="preserve">    Instructions:</t>
  </si>
  <si>
    <t>Customer Information</t>
  </si>
  <si>
    <t>Delivery Type</t>
  </si>
  <si>
    <t>Deliver To</t>
  </si>
  <si>
    <t>Deliver Address</t>
  </si>
  <si>
    <t>Deliver City</t>
  </si>
  <si>
    <t>Deliver State</t>
  </si>
  <si>
    <t>Deliver Zip</t>
  </si>
  <si>
    <t>Out of Area</t>
  </si>
  <si>
    <t>Order Number</t>
  </si>
  <si>
    <t>Sale Type</t>
  </si>
  <si>
    <t>Maintenance Type</t>
  </si>
  <si>
    <t>Transaction Type</t>
  </si>
  <si>
    <t>Meter Type</t>
  </si>
  <si>
    <t>Account Number</t>
  </si>
  <si>
    <t>Invoice Type</t>
  </si>
  <si>
    <t>Meter Email</t>
  </si>
  <si>
    <t>Meter Phone</t>
  </si>
  <si>
    <t>Meter Fax</t>
  </si>
  <si>
    <t>Key Operator Contact</t>
  </si>
  <si>
    <t>Key Operator Email</t>
  </si>
  <si>
    <t>Key Operator Phone</t>
  </si>
  <si>
    <t>Key Operator Fax</t>
  </si>
  <si>
    <t>Replace Connected Unit</t>
  </si>
  <si>
    <t>Elevator</t>
  </si>
  <si>
    <t>Site Survey Completed</t>
  </si>
  <si>
    <t>Tech Needed</t>
  </si>
  <si>
    <t>Network Survey Completed</t>
  </si>
  <si>
    <t>Delivery Instructions</t>
  </si>
  <si>
    <t>Power Verified?</t>
  </si>
  <si>
    <t>Space Verified?</t>
  </si>
  <si>
    <t>Entrance to Use</t>
  </si>
  <si>
    <t>Stairs: Yes or No</t>
  </si>
  <si>
    <t>Number of Stairs</t>
  </si>
  <si>
    <t>Removal</t>
  </si>
  <si>
    <t>Pickup Type</t>
  </si>
  <si>
    <t>Pickup Instructions</t>
  </si>
  <si>
    <t>Request Remove Date</t>
  </si>
  <si>
    <t>Letter of Intent</t>
  </si>
  <si>
    <t>Lease Expiration Date:</t>
  </si>
  <si>
    <t>Lease Company Information</t>
  </si>
  <si>
    <t>Lease Vendor:</t>
  </si>
  <si>
    <t>Lease Number:</t>
  </si>
  <si>
    <t>Lease Address:</t>
  </si>
  <si>
    <t>Lease Zip:</t>
  </si>
  <si>
    <t xml:space="preserve">Sincerely, </t>
  </si>
  <si>
    <t>Sold Date</t>
  </si>
  <si>
    <t>Department</t>
  </si>
  <si>
    <t>Meter Contact</t>
  </si>
  <si>
    <t>All incomplete/incorrect orders will be returned.</t>
  </si>
  <si>
    <t xml:space="preserve">Rename file and turn in to sales manager.  </t>
  </si>
  <si>
    <t>Final Step</t>
  </si>
  <si>
    <t>File name should be in the format "Client Name MM-DD-YY". For example: Imaging 10-11-08, Direct Mortgage 01-05-11.</t>
  </si>
  <si>
    <t>Completed and signed sales order</t>
  </si>
  <si>
    <t xml:space="preserve">Completed and signed lease </t>
  </si>
  <si>
    <t>Completed service agreement (if applicable)</t>
  </si>
  <si>
    <t>Completed and signed net connect form</t>
  </si>
  <si>
    <t>Leasing company approval form</t>
  </si>
  <si>
    <t>Any checks or cash (if applicable)</t>
  </si>
  <si>
    <t>Tech lead sheet (If applicable)</t>
  </si>
  <si>
    <t>Equipment removal form</t>
  </si>
  <si>
    <t>Equipment delivery form</t>
  </si>
  <si>
    <t>Cost per image worksheet</t>
  </si>
  <si>
    <t>Commission sheet</t>
  </si>
  <si>
    <t>Items to Submit to Sales Manager</t>
  </si>
  <si>
    <t xml:space="preserve">Stairs  </t>
  </si>
  <si>
    <t>Delivery/Install Environment</t>
  </si>
  <si>
    <t>Remember to check EVERY sheet in this workbook.  Some sheets have checkboxes that must be checked. THIS DATA SHEET IS NOT ENOUGH TO COMPLETE THESE FORMS!</t>
  </si>
  <si>
    <t>Networking (select one)</t>
  </si>
  <si>
    <t xml:space="preserve">   Trade-In Info</t>
  </si>
  <si>
    <t>Product #</t>
  </si>
  <si>
    <t>Unit Price</t>
  </si>
  <si>
    <t>Total Price</t>
  </si>
  <si>
    <t>Yes</t>
  </si>
  <si>
    <t>No</t>
  </si>
  <si>
    <t>Color</t>
  </si>
  <si>
    <t>Mono</t>
  </si>
  <si>
    <t>Combined</t>
  </si>
  <si>
    <t>Service/Supply Rate</t>
  </si>
  <si>
    <t>Additional/Buyout</t>
  </si>
  <si>
    <t>Cost per Copy</t>
  </si>
  <si>
    <t>Printers</t>
  </si>
  <si>
    <t>Copiers</t>
  </si>
  <si>
    <t>To whom it may concern:</t>
  </si>
  <si>
    <t>DO NOT DELETE THIS TAB</t>
  </si>
  <si>
    <t>IT IS ESSENTIAL FOR THE WORKBOOK TO FUNCTION</t>
  </si>
  <si>
    <t>If you do not want this sheet to print or to be present in your sales order packet, you can hide the tab by right-clicking on the name of the tab (below "Equip. Details-DO NOT DELETE" and selecting "Hide"). This information will not print unless you change the print area.</t>
  </si>
  <si>
    <t>If you do not want this sheet to print or to be present in your sales order packet, you can hide the tab by right-clicking on the name of the tab (below "Svc &amp; Fin Details-DO NOT DELETE" and selecting "Hide"). This information will not print unless you change the print area.</t>
  </si>
  <si>
    <t>If you do not want this sheet to print or to be present in your sales order packet, you can hide the tab by right-clicking on the name of the tab (below "Account Details-DO NOT DELETE" and selecting "Hide"). This information will not print unless you change the print area.</t>
  </si>
  <si>
    <t>WRITE YOUR DEALERSHIP ADDRESS HERE</t>
  </si>
  <si>
    <t>WRITE YOUR CITY, STATE AND ZIP HERE</t>
  </si>
  <si>
    <t>Financial details report from Compass Sherpa Financials page</t>
  </si>
  <si>
    <t>Remember to check EVERY sheet in this workbook.  Some sheets have checkboxes that must be checked.
THIS DATA SHEET IS NOT ENOUGH TO COMPLETE THESE FORMS!</t>
  </si>
  <si>
    <t>Suite</t>
  </si>
  <si>
    <t>The orange cells to the left will only populate if you add a "Bill To:" address in the Addresses tab of an account in Sherpa. You can find this on the Accounts screen.</t>
  </si>
  <si>
    <t>Billing Address</t>
  </si>
  <si>
    <t>Billing Suite</t>
  </si>
  <si>
    <t>Billing Phone Number</t>
  </si>
  <si>
    <t>Billing Company</t>
  </si>
  <si>
    <t>Billing Fax Number</t>
  </si>
  <si>
    <t>Billing Contact</t>
  </si>
  <si>
    <t>Billing Email</t>
  </si>
  <si>
    <t>Main Contact</t>
  </si>
  <si>
    <t>Sales Order Addendum</t>
  </si>
  <si>
    <t>Equipment Details - Models Only Table</t>
  </si>
  <si>
    <t>Accessory Type</t>
  </si>
  <si>
    <t>L &amp; E Services LLC</t>
  </si>
  <si>
    <t>132745 Lovington HWY</t>
  </si>
  <si>
    <t>P.O. Box 98</t>
  </si>
  <si>
    <t>Loco Hills</t>
  </si>
  <si>
    <t>NM</t>
  </si>
  <si>
    <t>EDDY</t>
  </si>
  <si>
    <t>(575) 677-2111</t>
  </si>
  <si>
    <t>(575) -</t>
  </si>
  <si>
    <t>HB0858</t>
  </si>
  <si>
    <t>Stephen Ross</t>
  </si>
  <si>
    <t>Canon imageRUNNER ADVANCE DX 4751i - 51ppm</t>
  </si>
  <si>
    <t>iRA DX 4751i</t>
  </si>
  <si>
    <t>4053C002AA</t>
  </si>
  <si>
    <t>GPR-57 Toner Black</t>
  </si>
  <si>
    <t>0473C003AA</t>
  </si>
  <si>
    <t>Supply</t>
  </si>
  <si>
    <t>High Capacity Cassette Feeding Unit-B1</t>
  </si>
  <si>
    <t>1420C002AA</t>
  </si>
  <si>
    <t>Accessory</t>
  </si>
  <si>
    <t>Thank you for your promp attention to this matter.</t>
  </si>
  <si>
    <t>Please confirm reciept of this notice.</t>
  </si>
  <si>
    <t>Assett Serial:</t>
  </si>
  <si>
    <t>Email:</t>
  </si>
  <si>
    <t>Business:</t>
  </si>
  <si>
    <t>Assett Model:</t>
  </si>
  <si>
    <t>Address:</t>
  </si>
  <si>
    <t>Lease City, State:</t>
  </si>
  <si>
    <t>City, State:</t>
  </si>
  <si>
    <t>Zip:</t>
  </si>
  <si>
    <t xml:space="preserve">Please consider this an official request to terminate contract # </t>
  </si>
  <si>
    <t xml:space="preserve">60 Day Letter Due: </t>
  </si>
  <si>
    <t>Lubbock, TX 79414</t>
  </si>
  <si>
    <t>.</t>
  </si>
  <si>
    <t>All return instructions should be emailed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</si>
</sst>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[&lt;=9999999]###\-####;\(###\)\ ###\-####"/>
    <numFmt numFmtId="166" formatCode="mm/dd/yy;@"/>
  </numFmts>
  <fonts count="5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2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color indexed="9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sz val="9"/>
      <name val="Arial Narrow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DokChampa"/>
      <family val="2"/>
    </font>
    <font>
      <b/>
      <sz val="28"/>
      <name val="Georgia"/>
      <family val="1"/>
    </font>
    <font>
      <b/>
      <sz val="10"/>
      <name val="Century Gothic"/>
      <family val="2"/>
    </font>
    <font>
      <sz val="10"/>
      <name val="Century Gothic"/>
      <family val="2"/>
    </font>
    <font>
      <sz val="11"/>
      <name val="Century Gothic"/>
      <family val="2"/>
    </font>
    <font>
      <b/>
      <sz val="20"/>
      <name val="Georgia"/>
      <family val="1"/>
    </font>
    <font>
      <sz val="11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3"/>
      <name val="Arial"/>
      <family val="2"/>
    </font>
    <font>
      <sz val="12"/>
      <name val="Century Gothic"/>
      <family val="2"/>
    </font>
    <font>
      <i/>
      <sz val="11"/>
      <name val="Arial"/>
      <family val="2"/>
    </font>
    <font>
      <sz val="13"/>
      <name val="Century Gothic"/>
      <family val="2"/>
    </font>
    <font>
      <i/>
      <sz val="9"/>
      <color rgb="FFFF0000"/>
      <name val="Arial"/>
      <family val="2"/>
    </font>
    <font>
      <i/>
      <sz val="8"/>
      <color rgb="FFFF0000"/>
      <name val="Arial"/>
      <family val="2"/>
    </font>
    <font>
      <sz val="14"/>
      <color theme="1" tint="0.14999847407452621"/>
      <name val="Arial"/>
      <family val="2"/>
    </font>
    <font>
      <b/>
      <sz val="11"/>
      <color theme="0"/>
      <name val="Arial"/>
      <family val="2"/>
    </font>
    <font>
      <sz val="10"/>
      <color theme="1" tint="0.14999847407452621"/>
      <name val="Arial"/>
      <family val="2"/>
    </font>
    <font>
      <b/>
      <sz val="10"/>
      <color theme="1" tint="0.1499984740745262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Century Gothic"/>
      <family val="2"/>
    </font>
    <font>
      <b/>
      <i/>
      <sz val="10"/>
      <color rgb="FFC00000"/>
      <name val="Arial"/>
      <family val="2"/>
    </font>
    <font>
      <sz val="14"/>
      <color theme="0"/>
      <name val="Arial"/>
      <family val="2"/>
    </font>
    <font>
      <b/>
      <sz val="20"/>
      <color theme="0"/>
      <name val="Arial"/>
      <family val="2"/>
    </font>
    <font>
      <sz val="11"/>
      <color theme="1" tint="0.14999847407452621"/>
      <name val="Arial"/>
      <family val="2"/>
    </font>
    <font>
      <i/>
      <sz val="10"/>
      <color rgb="FF0070C0"/>
      <name val="Arial"/>
      <family val="2"/>
    </font>
    <font>
      <sz val="36"/>
      <color theme="1" tint="0.14999847407452621"/>
      <name val="Arial Narrow"/>
      <family val="2"/>
    </font>
    <font>
      <sz val="12"/>
      <color theme="1" tint="0.14999847407452621"/>
      <name val="Arial"/>
      <family val="2"/>
    </font>
    <font>
      <sz val="14"/>
      <color theme="1" tint="0.14999847407452621"/>
      <name val="Century Gothic"/>
      <family val="2"/>
    </font>
    <font>
      <sz val="18"/>
      <color rgb="FFFF0000"/>
      <name val="Arial Narrow"/>
      <family val="2"/>
    </font>
    <font>
      <i/>
      <sz val="9"/>
      <color theme="0"/>
      <name val="Arial"/>
      <family val="2"/>
    </font>
    <font>
      <sz val="36"/>
      <color rgb="FFFF0000"/>
      <name val="Arial Narrow"/>
      <family val="2"/>
    </font>
    <font>
      <i/>
      <sz val="9"/>
      <color theme="1" tint="0.14999847407452621"/>
      <name val="Arial"/>
      <family val="2"/>
    </font>
    <font>
      <i/>
      <sz val="8"/>
      <color theme="1" tint="0.14999847407452621"/>
      <name val="Arial"/>
      <family val="2"/>
    </font>
    <font>
      <sz val="12"/>
      <color theme="0"/>
      <name val="Arial"/>
      <family val="2"/>
    </font>
    <font>
      <sz val="11"/>
      <color theme="0"/>
      <name val="Arial"/>
      <family val="2"/>
    </font>
    <font>
      <u/>
      <sz val="10"/>
      <color theme="10"/>
      <name val="Arial"/>
      <family val="2"/>
    </font>
    <font>
      <sz val="11"/>
      <color indexed="8"/>
      <name val="Arial"/>
      <family val="2"/>
    </font>
    <font>
      <u/>
      <sz val="11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9121D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0" fontId="10" fillId="0" borderId="0"/>
    <xf numFmtId="9" fontId="1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200">
    <xf numFmtId="0" fontId="0" fillId="0" borderId="0" xfId="0"/>
    <xf numFmtId="0" fontId="3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40" fontId="5" fillId="0" borderId="0" xfId="0" applyNumberFormat="1" applyFont="1"/>
    <xf numFmtId="14" fontId="4" fillId="0" borderId="0" xfId="0" applyNumberFormat="1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40" fontId="5" fillId="0" borderId="0" xfId="0" applyNumberFormat="1" applyFont="1" applyAlignment="1">
      <alignment horizontal="center"/>
    </xf>
    <xf numFmtId="40" fontId="6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left" inden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40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wrapText="1"/>
    </xf>
    <xf numFmtId="40" fontId="6" fillId="0" borderId="0" xfId="0" applyNumberFormat="1" applyFont="1" applyAlignment="1">
      <alignment horizontal="center"/>
    </xf>
    <xf numFmtId="0" fontId="10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40" fontId="16" fillId="0" borderId="0" xfId="0" applyNumberFormat="1" applyFont="1"/>
    <xf numFmtId="40" fontId="16" fillId="0" borderId="0" xfId="0" applyNumberFormat="1" applyFont="1" applyAlignment="1">
      <alignment horizontal="right" indent="1"/>
    </xf>
    <xf numFmtId="0" fontId="17" fillId="0" borderId="0" xfId="0" applyFont="1"/>
    <xf numFmtId="0" fontId="14" fillId="0" borderId="0" xfId="0" applyFont="1" applyAlignment="1">
      <alignment horizontal="right"/>
    </xf>
    <xf numFmtId="0" fontId="20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2" fillId="0" borderId="0" xfId="0" applyFont="1" applyAlignment="1">
      <alignment vertical="center" wrapText="1"/>
    </xf>
    <xf numFmtId="0" fontId="7" fillId="0" borderId="0" xfId="0" applyFont="1"/>
    <xf numFmtId="0" fontId="11" fillId="0" borderId="0" xfId="0" applyFont="1"/>
    <xf numFmtId="0" fontId="27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8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vertical="center"/>
    </xf>
    <xf numFmtId="0" fontId="23" fillId="0" borderId="0" xfId="0" applyFont="1"/>
    <xf numFmtId="0" fontId="4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4" fillId="0" borderId="0" xfId="0" applyFont="1"/>
    <xf numFmtId="0" fontId="10" fillId="4" borderId="13" xfId="0" applyFont="1" applyFill="1" applyBorder="1"/>
    <xf numFmtId="49" fontId="10" fillId="0" borderId="13" xfId="0" applyNumberFormat="1" applyFont="1" applyBorder="1" applyAlignment="1">
      <alignment horizontal="left" indent="1"/>
    </xf>
    <xf numFmtId="0" fontId="10" fillId="0" borderId="13" xfId="0" applyFont="1" applyBorder="1"/>
    <xf numFmtId="0" fontId="0" fillId="0" borderId="13" xfId="0" applyBorder="1"/>
    <xf numFmtId="164" fontId="10" fillId="0" borderId="13" xfId="0" applyNumberFormat="1" applyFont="1" applyBorder="1" applyAlignment="1">
      <alignment horizontal="right"/>
    </xf>
    <xf numFmtId="0" fontId="31" fillId="4" borderId="13" xfId="0" applyFont="1" applyFill="1" applyBorder="1" applyAlignment="1">
      <alignment horizontal="center"/>
    </xf>
    <xf numFmtId="0" fontId="31" fillId="4" borderId="13" xfId="0" applyFont="1" applyFill="1" applyBorder="1"/>
    <xf numFmtId="0" fontId="31" fillId="0" borderId="13" xfId="0" applyFont="1" applyBorder="1"/>
    <xf numFmtId="0" fontId="31" fillId="4" borderId="13" xfId="0" applyFont="1" applyFill="1" applyBorder="1" applyAlignment="1">
      <alignment horizontal="left" indent="1"/>
    </xf>
    <xf numFmtId="0" fontId="31" fillId="0" borderId="13" xfId="0" applyFont="1" applyBorder="1" applyAlignment="1">
      <alignment horizontal="left" indent="1"/>
    </xf>
    <xf numFmtId="0" fontId="31" fillId="3" borderId="13" xfId="0" applyFont="1" applyFill="1" applyBorder="1" applyAlignment="1">
      <alignment horizontal="left" indent="1"/>
    </xf>
    <xf numFmtId="14" fontId="31" fillId="0" borderId="13" xfId="0" applyNumberFormat="1" applyFont="1" applyBorder="1" applyAlignment="1">
      <alignment horizontal="left" indent="1"/>
    </xf>
    <xf numFmtId="49" fontId="31" fillId="4" borderId="13" xfId="0" applyNumberFormat="1" applyFont="1" applyFill="1" applyBorder="1" applyAlignment="1">
      <alignment horizontal="left" indent="1"/>
    </xf>
    <xf numFmtId="165" fontId="31" fillId="0" borderId="13" xfId="0" applyNumberFormat="1" applyFont="1" applyBorder="1" applyAlignment="1">
      <alignment horizontal="left" indent="1"/>
    </xf>
    <xf numFmtId="166" fontId="31" fillId="0" borderId="13" xfId="0" applyNumberFormat="1" applyFont="1" applyBorder="1" applyAlignment="1">
      <alignment horizontal="left" indent="1"/>
    </xf>
    <xf numFmtId="0" fontId="31" fillId="4" borderId="13" xfId="2" applyFont="1" applyFill="1" applyBorder="1" applyAlignment="1">
      <alignment horizontal="left" indent="1"/>
    </xf>
    <xf numFmtId="0" fontId="31" fillId="4" borderId="13" xfId="0" applyFont="1" applyFill="1" applyBorder="1" applyAlignment="1">
      <alignment horizontal="left" vertical="top" wrapText="1" indent="1"/>
    </xf>
    <xf numFmtId="0" fontId="31" fillId="4" borderId="13" xfId="0" applyFont="1" applyFill="1" applyBorder="1" applyAlignment="1">
      <alignment horizontal="left" vertical="center" indent="1"/>
    </xf>
    <xf numFmtId="49" fontId="31" fillId="3" borderId="13" xfId="0" applyNumberFormat="1" applyFont="1" applyFill="1" applyBorder="1" applyAlignment="1">
      <alignment horizontal="left" wrapText="1" indent="1"/>
    </xf>
    <xf numFmtId="0" fontId="31" fillId="3" borderId="13" xfId="0" applyFont="1" applyFill="1" applyBorder="1"/>
    <xf numFmtId="0" fontId="32" fillId="4" borderId="13" xfId="0" applyFont="1" applyFill="1" applyBorder="1" applyAlignment="1">
      <alignment horizontal="left" indent="1"/>
    </xf>
    <xf numFmtId="44" fontId="31" fillId="0" borderId="13" xfId="1" applyFont="1" applyBorder="1" applyAlignment="1">
      <alignment horizontal="center"/>
    </xf>
    <xf numFmtId="44" fontId="31" fillId="3" borderId="13" xfId="1" applyFont="1" applyFill="1" applyBorder="1" applyAlignment="1">
      <alignment horizontal="center"/>
    </xf>
    <xf numFmtId="9" fontId="31" fillId="3" borderId="13" xfId="4" applyFont="1" applyFill="1" applyBorder="1" applyAlignment="1">
      <alignment horizontal="center"/>
    </xf>
    <xf numFmtId="0" fontId="31" fillId="0" borderId="13" xfId="0" applyFont="1" applyBorder="1" applyAlignment="1">
      <alignment horizontal="center"/>
    </xf>
    <xf numFmtId="1" fontId="10" fillId="4" borderId="13" xfId="0" applyNumberFormat="1" applyFont="1" applyFill="1" applyBorder="1" applyAlignment="1">
      <alignment horizontal="center"/>
    </xf>
    <xf numFmtId="1" fontId="10" fillId="4" borderId="13" xfId="0" applyNumberFormat="1" applyFont="1" applyFill="1" applyBorder="1" applyAlignment="1">
      <alignment horizontal="left"/>
    </xf>
    <xf numFmtId="1" fontId="10" fillId="0" borderId="13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left"/>
    </xf>
    <xf numFmtId="0" fontId="31" fillId="4" borderId="13" xfId="0" applyFont="1" applyFill="1" applyBorder="1" applyAlignment="1">
      <alignment horizontal="left"/>
    </xf>
    <xf numFmtId="164" fontId="10" fillId="4" borderId="13" xfId="0" applyNumberFormat="1" applyFont="1" applyFill="1" applyBorder="1" applyAlignment="1">
      <alignment horizontal="right"/>
    </xf>
    <xf numFmtId="0" fontId="31" fillId="0" borderId="13" xfId="0" applyFont="1" applyBorder="1" applyAlignment="1">
      <alignment horizontal="left"/>
    </xf>
    <xf numFmtId="0" fontId="22" fillId="4" borderId="14" xfId="0" applyFont="1" applyFill="1" applyBorder="1"/>
    <xf numFmtId="0" fontId="10" fillId="4" borderId="13" xfId="0" applyFont="1" applyFill="1" applyBorder="1" applyAlignment="1">
      <alignment horizontal="center" vertical="center"/>
    </xf>
    <xf numFmtId="164" fontId="31" fillId="4" borderId="13" xfId="1" applyNumberFormat="1" applyFont="1" applyFill="1" applyBorder="1" applyAlignment="1">
      <alignment horizontal="right"/>
    </xf>
    <xf numFmtId="164" fontId="31" fillId="0" borderId="13" xfId="1" applyNumberFormat="1" applyFont="1" applyFill="1" applyBorder="1" applyAlignment="1">
      <alignment horizontal="right"/>
    </xf>
    <xf numFmtId="0" fontId="0" fillId="4" borderId="13" xfId="0" applyFill="1" applyBorder="1"/>
    <xf numFmtId="0" fontId="5" fillId="4" borderId="13" xfId="0" applyFont="1" applyFill="1" applyBorder="1" applyAlignment="1">
      <alignment wrapText="1"/>
    </xf>
    <xf numFmtId="0" fontId="0" fillId="6" borderId="13" xfId="0" applyFill="1" applyBorder="1"/>
    <xf numFmtId="0" fontId="10" fillId="6" borderId="13" xfId="0" applyFont="1" applyFill="1" applyBorder="1"/>
    <xf numFmtId="14" fontId="31" fillId="7" borderId="13" xfId="0" applyNumberFormat="1" applyFont="1" applyFill="1" applyBorder="1" applyAlignment="1">
      <alignment horizontal="left" indent="1"/>
    </xf>
    <xf numFmtId="0" fontId="31" fillId="7" borderId="13" xfId="0" applyFont="1" applyFill="1" applyBorder="1" applyAlignment="1">
      <alignment horizontal="left" indent="1"/>
    </xf>
    <xf numFmtId="0" fontId="31" fillId="8" borderId="15" xfId="0" applyFont="1" applyFill="1" applyBorder="1" applyAlignment="1">
      <alignment horizontal="left" indent="1"/>
    </xf>
    <xf numFmtId="49" fontId="31" fillId="7" borderId="13" xfId="0" applyNumberFormat="1" applyFont="1" applyFill="1" applyBorder="1" applyAlignment="1">
      <alignment horizontal="left" indent="1"/>
    </xf>
    <xf numFmtId="166" fontId="31" fillId="7" borderId="13" xfId="0" applyNumberFormat="1" applyFont="1" applyFill="1" applyBorder="1" applyAlignment="1">
      <alignment horizontal="left" indent="1"/>
    </xf>
    <xf numFmtId="0" fontId="31" fillId="7" borderId="13" xfId="0" applyFont="1" applyFill="1" applyBorder="1" applyAlignment="1">
      <alignment horizontal="left" vertical="top" wrapText="1" indent="1"/>
    </xf>
    <xf numFmtId="40" fontId="35" fillId="0" borderId="0" xfId="0" applyNumberFormat="1" applyFont="1"/>
    <xf numFmtId="0" fontId="31" fillId="7" borderId="13" xfId="0" applyFont="1" applyFill="1" applyBorder="1"/>
    <xf numFmtId="44" fontId="31" fillId="7" borderId="13" xfId="1" applyFont="1" applyFill="1" applyBorder="1" applyAlignment="1"/>
    <xf numFmtId="44" fontId="31" fillId="7" borderId="13" xfId="1" applyFont="1" applyFill="1" applyBorder="1" applyAlignment="1">
      <alignment horizontal="center"/>
    </xf>
    <xf numFmtId="14" fontId="31" fillId="7" borderId="13" xfId="0" applyNumberFormat="1" applyFont="1" applyFill="1" applyBorder="1" applyAlignment="1">
      <alignment horizontal="center"/>
    </xf>
    <xf numFmtId="0" fontId="26" fillId="0" borderId="0" xfId="0" applyFont="1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center" vertical="center"/>
    </xf>
    <xf numFmtId="49" fontId="10" fillId="9" borderId="13" xfId="0" applyNumberFormat="1" applyFont="1" applyFill="1" applyBorder="1" applyAlignment="1">
      <alignment horizontal="left" indent="1"/>
    </xf>
    <xf numFmtId="0" fontId="10" fillId="9" borderId="13" xfId="0" applyFont="1" applyFill="1" applyBorder="1"/>
    <xf numFmtId="0" fontId="34" fillId="10" borderId="0" xfId="0" applyFont="1" applyFill="1" applyAlignment="1">
      <alignment horizontal="center" vertical="center" wrapText="1"/>
    </xf>
    <xf numFmtId="0" fontId="50" fillId="10" borderId="13" xfId="0" applyFont="1" applyFill="1" applyBorder="1" applyAlignment="1">
      <alignment horizontal="center"/>
    </xf>
    <xf numFmtId="0" fontId="33" fillId="11" borderId="0" xfId="0" applyFont="1" applyFill="1" applyAlignment="1">
      <alignment horizontal="center"/>
    </xf>
    <xf numFmtId="0" fontId="33" fillId="11" borderId="0" xfId="0" applyFont="1" applyFill="1"/>
    <xf numFmtId="0" fontId="33" fillId="11" borderId="0" xfId="0" applyFont="1" applyFill="1" applyAlignment="1">
      <alignment horizontal="left"/>
    </xf>
    <xf numFmtId="164" fontId="33" fillId="11" borderId="0" xfId="1" applyNumberFormat="1" applyFont="1" applyFill="1" applyBorder="1" applyAlignment="1">
      <alignment horizontal="right"/>
    </xf>
    <xf numFmtId="0" fontId="19" fillId="0" borderId="0" xfId="0" applyFont="1" applyAlignment="1">
      <alignment horizontal="left" indent="1"/>
    </xf>
    <xf numFmtId="0" fontId="52" fillId="0" borderId="0" xfId="0" applyFont="1"/>
    <xf numFmtId="0" fontId="53" fillId="0" borderId="0" xfId="5" applyFont="1" applyFill="1" applyBorder="1" applyAlignment="1"/>
    <xf numFmtId="0" fontId="19" fillId="0" borderId="0" xfId="5" applyFont="1" applyFill="1" applyBorder="1" applyAlignment="1"/>
    <xf numFmtId="0" fontId="31" fillId="0" borderId="0" xfId="0" applyFont="1" applyAlignment="1">
      <alignment horizontal="left" vertical="center"/>
    </xf>
    <xf numFmtId="11" fontId="31" fillId="0" borderId="0" xfId="0" applyNumberFormat="1" applyFont="1" applyAlignment="1">
      <alignment horizontal="left" vertical="center"/>
    </xf>
    <xf numFmtId="0" fontId="25" fillId="0" borderId="0" xfId="0" applyFont="1"/>
    <xf numFmtId="0" fontId="38" fillId="10" borderId="0" xfId="2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0" fillId="0" borderId="0" xfId="0" applyFont="1" applyAlignment="1">
      <alignment horizontal="left"/>
    </xf>
    <xf numFmtId="0" fontId="36" fillId="0" borderId="0" xfId="0" applyFont="1" applyAlignment="1">
      <alignment horizontal="center" vertical="top"/>
    </xf>
    <xf numFmtId="0" fontId="41" fillId="4" borderId="0" xfId="0" applyFont="1" applyFill="1" applyAlignment="1">
      <alignment horizontal="center" vertical="center"/>
    </xf>
    <xf numFmtId="0" fontId="30" fillId="11" borderId="13" xfId="0" applyFont="1" applyFill="1" applyBorder="1" applyAlignment="1">
      <alignment horizontal="center" vertical="center"/>
    </xf>
    <xf numFmtId="0" fontId="39" fillId="9" borderId="13" xfId="0" applyFont="1" applyFill="1" applyBorder="1" applyAlignment="1">
      <alignment horizontal="center"/>
    </xf>
    <xf numFmtId="0" fontId="42" fillId="9" borderId="13" xfId="0" applyFont="1" applyFill="1" applyBorder="1" applyAlignment="1">
      <alignment horizontal="center"/>
    </xf>
    <xf numFmtId="0" fontId="41" fillId="4" borderId="0" xfId="0" applyFont="1" applyFill="1" applyAlignment="1">
      <alignment horizontal="center" vertical="center" wrapText="1"/>
    </xf>
    <xf numFmtId="0" fontId="43" fillId="4" borderId="16" xfId="0" applyFont="1" applyFill="1" applyBorder="1" applyAlignment="1">
      <alignment horizontal="center" vertical="center" wrapText="1"/>
    </xf>
    <xf numFmtId="0" fontId="43" fillId="4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44" fillId="7" borderId="0" xfId="0" applyFont="1" applyFill="1" applyAlignment="1">
      <alignment horizontal="right"/>
    </xf>
    <xf numFmtId="0" fontId="31" fillId="2" borderId="13" xfId="0" applyFont="1" applyFill="1" applyBorder="1" applyAlignment="1">
      <alignment horizontal="left" wrapText="1"/>
    </xf>
    <xf numFmtId="0" fontId="31" fillId="0" borderId="13" xfId="0" applyFont="1" applyBorder="1" applyAlignment="1">
      <alignment wrapText="1"/>
    </xf>
    <xf numFmtId="0" fontId="31" fillId="7" borderId="13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5" fillId="10" borderId="13" xfId="0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left" indent="1"/>
    </xf>
    <xf numFmtId="0" fontId="31" fillId="7" borderId="13" xfId="0" applyFont="1" applyFill="1" applyBorder="1" applyAlignment="1">
      <alignment horizontal="left" vertical="top" indent="1"/>
    </xf>
    <xf numFmtId="0" fontId="38" fillId="11" borderId="0" xfId="0" applyFont="1" applyFill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45" fillId="10" borderId="0" xfId="0" applyFont="1" applyFill="1" applyAlignment="1">
      <alignment horizontal="center" vertical="center" wrapText="1"/>
    </xf>
    <xf numFmtId="40" fontId="34" fillId="10" borderId="0" xfId="0" applyNumberFormat="1" applyFont="1" applyFill="1" applyAlignment="1">
      <alignment horizontal="center" vertical="center" wrapText="1"/>
    </xf>
    <xf numFmtId="0" fontId="34" fillId="10" borderId="0" xfId="0" applyFont="1" applyFill="1" applyAlignment="1">
      <alignment horizontal="center" vertical="center" wrapText="1"/>
    </xf>
    <xf numFmtId="0" fontId="47" fillId="4" borderId="0" xfId="0" applyFont="1" applyFill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46" fillId="5" borderId="9" xfId="0" applyFont="1" applyFill="1" applyBorder="1" applyAlignment="1">
      <alignment horizontal="center" vertical="center"/>
    </xf>
    <xf numFmtId="0" fontId="46" fillId="5" borderId="10" xfId="0" applyFont="1" applyFill="1" applyBorder="1" applyAlignment="1">
      <alignment horizontal="center" vertical="center"/>
    </xf>
    <xf numFmtId="0" fontId="46" fillId="5" borderId="11" xfId="0" applyFont="1" applyFill="1" applyBorder="1" applyAlignment="1">
      <alignment horizontal="center" vertical="center"/>
    </xf>
    <xf numFmtId="0" fontId="46" fillId="5" borderId="4" xfId="0" applyFont="1" applyFill="1" applyBorder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0" fontId="46" fillId="5" borderId="5" xfId="0" applyFont="1" applyFill="1" applyBorder="1" applyAlignment="1">
      <alignment horizontal="center" vertical="center"/>
    </xf>
    <xf numFmtId="0" fontId="46" fillId="5" borderId="4" xfId="0" applyFont="1" applyFill="1" applyBorder="1" applyAlignment="1">
      <alignment horizontal="center" vertical="center" wrapText="1"/>
    </xf>
    <xf numFmtId="0" fontId="46" fillId="5" borderId="0" xfId="0" applyFont="1" applyFill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5" borderId="7" xfId="0" applyFont="1" applyFill="1" applyBorder="1" applyAlignment="1">
      <alignment horizontal="center" vertical="center" wrapText="1"/>
    </xf>
    <xf numFmtId="0" fontId="46" fillId="5" borderId="8" xfId="0" applyFont="1" applyFill="1" applyBorder="1" applyAlignment="1">
      <alignment horizontal="center" vertical="center" wrapText="1"/>
    </xf>
    <xf numFmtId="0" fontId="46" fillId="5" borderId="13" xfId="0" applyFont="1" applyFill="1" applyBorder="1" applyAlignment="1">
      <alignment horizontal="center" vertical="center"/>
    </xf>
    <xf numFmtId="0" fontId="46" fillId="5" borderId="13" xfId="0" applyFont="1" applyFill="1" applyBorder="1" applyAlignment="1">
      <alignment horizontal="center" vertical="center" wrapText="1"/>
    </xf>
    <xf numFmtId="0" fontId="24" fillId="5" borderId="13" xfId="0" applyFont="1" applyFill="1" applyBorder="1" applyAlignment="1">
      <alignment horizontal="center" vertical="center" wrapText="1"/>
    </xf>
    <xf numFmtId="0" fontId="30" fillId="10" borderId="13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8" fillId="4" borderId="0" xfId="0" applyFont="1" applyFill="1" applyAlignment="1">
      <alignment horizontal="center" vertical="center" wrapText="1"/>
    </xf>
    <xf numFmtId="0" fontId="10" fillId="4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50" fillId="10" borderId="13" xfId="0" applyFont="1" applyFill="1" applyBorder="1" applyAlignment="1">
      <alignment horizontal="center"/>
    </xf>
    <xf numFmtId="0" fontId="31" fillId="4" borderId="14" xfId="0" applyFont="1" applyFill="1" applyBorder="1" applyAlignment="1">
      <alignment horizontal="left" vertical="center"/>
    </xf>
    <xf numFmtId="0" fontId="52" fillId="0" borderId="12" xfId="0" applyFont="1" applyBorder="1" applyAlignment="1">
      <alignment horizontal="center"/>
    </xf>
    <xf numFmtId="0" fontId="19" fillId="0" borderId="0" xfId="0" applyFont="1" applyAlignment="1">
      <alignment horizontal="left"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31" fillId="0" borderId="19" xfId="0" applyFont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/>
    </xf>
    <xf numFmtId="0" fontId="31" fillId="4" borderId="18" xfId="0" applyFont="1" applyFill="1" applyBorder="1" applyAlignment="1">
      <alignment horizontal="left" vertical="center"/>
    </xf>
    <xf numFmtId="0" fontId="49" fillId="10" borderId="14" xfId="0" applyFont="1" applyFill="1" applyBorder="1" applyAlignment="1">
      <alignment horizontal="center" vertical="center"/>
    </xf>
    <xf numFmtId="0" fontId="49" fillId="10" borderId="0" xfId="0" applyFont="1" applyFill="1" applyAlignment="1">
      <alignment horizontal="center" vertical="center"/>
    </xf>
    <xf numFmtId="14" fontId="31" fillId="7" borderId="14" xfId="0" applyNumberFormat="1" applyFont="1" applyFill="1" applyBorder="1" applyAlignment="1">
      <alignment horizontal="left" vertical="center"/>
    </xf>
    <xf numFmtId="0" fontId="31" fillId="7" borderId="14" xfId="0" applyFont="1" applyFill="1" applyBorder="1" applyAlignment="1">
      <alignment horizontal="left" vertical="center"/>
    </xf>
    <xf numFmtId="0" fontId="31" fillId="7" borderId="14" xfId="0" applyFont="1" applyFill="1" applyBorder="1" applyAlignment="1">
      <alignment horizontal="left" vertical="center" wrapText="1"/>
    </xf>
    <xf numFmtId="0" fontId="31" fillId="7" borderId="14" xfId="0" applyFont="1" applyFill="1" applyBorder="1" applyAlignment="1">
      <alignment horizontal="left" vertical="center"/>
    </xf>
    <xf numFmtId="0" fontId="1" fillId="7" borderId="14" xfId="5" applyFont="1" applyFill="1" applyBorder="1" applyAlignment="1">
      <alignment horizontal="left" vertical="center"/>
    </xf>
    <xf numFmtId="0" fontId="1" fillId="7" borderId="14" xfId="0" applyFont="1" applyFill="1" applyBorder="1" applyAlignment="1">
      <alignment horizontal="left" vertical="center"/>
    </xf>
    <xf numFmtId="0" fontId="51" fillId="7" borderId="17" xfId="5" applyFill="1" applyBorder="1" applyAlignment="1">
      <alignment horizontal="left" vertical="center"/>
    </xf>
    <xf numFmtId="0" fontId="51" fillId="7" borderId="18" xfId="5" applyFill="1" applyBorder="1" applyAlignment="1">
      <alignment horizontal="left" vertical="center"/>
    </xf>
    <xf numFmtId="11" fontId="31" fillId="7" borderId="14" xfId="0" applyNumberFormat="1" applyFont="1" applyFill="1" applyBorder="1" applyAlignment="1">
      <alignment horizontal="left" vertical="center"/>
    </xf>
    <xf numFmtId="0" fontId="19" fillId="7" borderId="0" xfId="0" applyFont="1" applyFill="1" applyAlignment="1">
      <alignment horizontal="left"/>
    </xf>
    <xf numFmtId="14" fontId="21" fillId="7" borderId="14" xfId="0" applyNumberFormat="1" applyFont="1" applyFill="1" applyBorder="1"/>
  </cellXfs>
  <cellStyles count="6">
    <cellStyle name="Currency" xfId="1" builtinId="4"/>
    <cellStyle name="Hyperlink" xfId="5" builtinId="8"/>
    <cellStyle name="Normal" xfId="0" builtinId="0"/>
    <cellStyle name="Normal 2" xfId="2" xr:uid="{00000000-0005-0000-0000-000003000000}"/>
    <cellStyle name="Normal 2 2" xfId="3" xr:uid="{00000000-0005-0000-0000-000004000000}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9121D"/>
      <color rgb="FF0070C0"/>
      <color rgb="FF0F243E"/>
      <color rgb="FF17118B"/>
      <color rgb="FF95B3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238125</xdr:colOff>
          <xdr:row>14</xdr:row>
          <xdr:rowOff>0</xdr:rowOff>
        </xdr:from>
        <xdr:to>
          <xdr:col>1</xdr:col>
          <xdr:colOff>504825</xdr:colOff>
          <xdr:row>32</xdr:row>
          <xdr:rowOff>371475</xdr:rowOff>
        </xdr:to>
        <xdr:grpSp>
          <xdr:nvGrpSpPr>
            <xdr:cNvPr id="14794" name="Group 1">
              <a:extLst>
                <a:ext uri="{FF2B5EF4-FFF2-40B4-BE49-F238E27FC236}">
                  <a16:creationId xmlns:a16="http://schemas.microsoft.com/office/drawing/2014/main" id="{00000000-0008-0000-0000-0000CA39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1975" y="2867025"/>
              <a:ext cx="266700" cy="7581900"/>
              <a:chOff x="561975" y="2867025"/>
              <a:chExt cx="266700" cy="7581900"/>
            </a:xfrm>
          </xdr:grpSpPr>
          <xdr:sp macro="" textlink="">
            <xdr:nvSpPr>
              <xdr:cNvPr id="14702" name="CheckBox1" hidden="1">
                <a:extLst>
                  <a:ext uri="{63B3BB69-23CF-44E3-9099-C40C66FF867C}">
                    <a14:compatExt spid="_x0000_s14702"/>
                  </a:ext>
                  <a:ext uri="{FF2B5EF4-FFF2-40B4-BE49-F238E27FC236}">
                    <a16:creationId xmlns:a16="http://schemas.microsoft.com/office/drawing/2014/main" id="{00000000-0008-0000-0000-00006E390000}"/>
                  </a:ext>
                </a:extLst>
              </xdr:cNvPr>
              <xdr:cNvSpPr/>
            </xdr:nvSpPr>
            <xdr:spPr bwMode="auto">
              <a:xfrm>
                <a:off x="581025" y="2867025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03" name="CheckBox2" hidden="1">
                <a:extLst>
                  <a:ext uri="{63B3BB69-23CF-44E3-9099-C40C66FF867C}">
                    <a14:compatExt spid="_x0000_s14703"/>
                  </a:ext>
                  <a:ext uri="{FF2B5EF4-FFF2-40B4-BE49-F238E27FC236}">
                    <a16:creationId xmlns:a16="http://schemas.microsoft.com/office/drawing/2014/main" id="{00000000-0008-0000-0000-00006F390000}"/>
                  </a:ext>
                </a:extLst>
              </xdr:cNvPr>
              <xdr:cNvSpPr/>
            </xdr:nvSpPr>
            <xdr:spPr bwMode="auto">
              <a:xfrm>
                <a:off x="561975" y="47434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04" name="CheckBox3" hidden="1">
                <a:extLst>
                  <a:ext uri="{63B3BB69-23CF-44E3-9099-C40C66FF867C}">
                    <a14:compatExt spid="_x0000_s14704"/>
                  </a:ext>
                  <a:ext uri="{FF2B5EF4-FFF2-40B4-BE49-F238E27FC236}">
                    <a16:creationId xmlns:a16="http://schemas.microsoft.com/office/drawing/2014/main" id="{00000000-0008-0000-0000-000070390000}"/>
                  </a:ext>
                </a:extLst>
              </xdr:cNvPr>
              <xdr:cNvSpPr/>
            </xdr:nvSpPr>
            <xdr:spPr bwMode="auto">
              <a:xfrm>
                <a:off x="561975" y="52387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05" name="CheckBox4" hidden="1">
                <a:extLst>
                  <a:ext uri="{63B3BB69-23CF-44E3-9099-C40C66FF867C}">
                    <a14:compatExt spid="_x0000_s14705"/>
                  </a:ext>
                  <a:ext uri="{FF2B5EF4-FFF2-40B4-BE49-F238E27FC236}">
                    <a16:creationId xmlns:a16="http://schemas.microsoft.com/office/drawing/2014/main" id="{00000000-0008-0000-0000-000071390000}"/>
                  </a:ext>
                </a:extLst>
              </xdr:cNvPr>
              <xdr:cNvSpPr/>
            </xdr:nvSpPr>
            <xdr:spPr bwMode="auto">
              <a:xfrm>
                <a:off x="561975" y="57340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06" name="CheckBox5" hidden="1">
                <a:extLst>
                  <a:ext uri="{63B3BB69-23CF-44E3-9099-C40C66FF867C}">
                    <a14:compatExt spid="_x0000_s14706"/>
                  </a:ext>
                  <a:ext uri="{FF2B5EF4-FFF2-40B4-BE49-F238E27FC236}">
                    <a16:creationId xmlns:a16="http://schemas.microsoft.com/office/drawing/2014/main" id="{00000000-0008-0000-0000-000072390000}"/>
                  </a:ext>
                </a:extLst>
              </xdr:cNvPr>
              <xdr:cNvSpPr/>
            </xdr:nvSpPr>
            <xdr:spPr bwMode="auto">
              <a:xfrm>
                <a:off x="561975" y="62293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07" name="CheckBox6" hidden="1">
                <a:extLst>
                  <a:ext uri="{63B3BB69-23CF-44E3-9099-C40C66FF867C}">
                    <a14:compatExt spid="_x0000_s14707"/>
                  </a:ext>
                  <a:ext uri="{FF2B5EF4-FFF2-40B4-BE49-F238E27FC236}">
                    <a16:creationId xmlns:a16="http://schemas.microsoft.com/office/drawing/2014/main" id="{00000000-0008-0000-0000-000073390000}"/>
                  </a:ext>
                </a:extLst>
              </xdr:cNvPr>
              <xdr:cNvSpPr/>
            </xdr:nvSpPr>
            <xdr:spPr bwMode="auto">
              <a:xfrm>
                <a:off x="561975" y="67246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08" name="CheckBox7" hidden="1">
                <a:extLst>
                  <a:ext uri="{63B3BB69-23CF-44E3-9099-C40C66FF867C}">
                    <a14:compatExt spid="_x0000_s14708"/>
                  </a:ext>
                  <a:ext uri="{FF2B5EF4-FFF2-40B4-BE49-F238E27FC236}">
                    <a16:creationId xmlns:a16="http://schemas.microsoft.com/office/drawing/2014/main" id="{00000000-0008-0000-0000-000074390000}"/>
                  </a:ext>
                </a:extLst>
              </xdr:cNvPr>
              <xdr:cNvSpPr/>
            </xdr:nvSpPr>
            <xdr:spPr bwMode="auto">
              <a:xfrm>
                <a:off x="561975" y="72199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09" name="CheckBox8" hidden="1">
                <a:extLst>
                  <a:ext uri="{63B3BB69-23CF-44E3-9099-C40C66FF867C}">
                    <a14:compatExt spid="_x0000_s14709"/>
                  </a:ext>
                  <a:ext uri="{FF2B5EF4-FFF2-40B4-BE49-F238E27FC236}">
                    <a16:creationId xmlns:a16="http://schemas.microsoft.com/office/drawing/2014/main" id="{00000000-0008-0000-0000-000075390000}"/>
                  </a:ext>
                </a:extLst>
              </xdr:cNvPr>
              <xdr:cNvSpPr/>
            </xdr:nvSpPr>
            <xdr:spPr bwMode="auto">
              <a:xfrm>
                <a:off x="561975" y="77152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10" name="CheckBox9" hidden="1">
                <a:extLst>
                  <a:ext uri="{63B3BB69-23CF-44E3-9099-C40C66FF867C}">
                    <a14:compatExt spid="_x0000_s14710"/>
                  </a:ext>
                  <a:ext uri="{FF2B5EF4-FFF2-40B4-BE49-F238E27FC236}">
                    <a16:creationId xmlns:a16="http://schemas.microsoft.com/office/drawing/2014/main" id="{00000000-0008-0000-0000-000076390000}"/>
                  </a:ext>
                </a:extLst>
              </xdr:cNvPr>
              <xdr:cNvSpPr/>
            </xdr:nvSpPr>
            <xdr:spPr bwMode="auto">
              <a:xfrm>
                <a:off x="561975" y="82105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11" name="CheckBox10" hidden="1">
                <a:extLst>
                  <a:ext uri="{63B3BB69-23CF-44E3-9099-C40C66FF867C}">
                    <a14:compatExt spid="_x0000_s14711"/>
                  </a:ext>
                  <a:ext uri="{FF2B5EF4-FFF2-40B4-BE49-F238E27FC236}">
                    <a16:creationId xmlns:a16="http://schemas.microsoft.com/office/drawing/2014/main" id="{00000000-0008-0000-0000-000077390000}"/>
                  </a:ext>
                </a:extLst>
              </xdr:cNvPr>
              <xdr:cNvSpPr/>
            </xdr:nvSpPr>
            <xdr:spPr bwMode="auto">
              <a:xfrm>
                <a:off x="561975" y="87058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12" name="CheckBox11" hidden="1">
                <a:extLst>
                  <a:ext uri="{63B3BB69-23CF-44E3-9099-C40C66FF867C}">
                    <a14:compatExt spid="_x0000_s14712"/>
                  </a:ext>
                  <a:ext uri="{FF2B5EF4-FFF2-40B4-BE49-F238E27FC236}">
                    <a16:creationId xmlns:a16="http://schemas.microsoft.com/office/drawing/2014/main" id="{00000000-0008-0000-0000-000078390000}"/>
                  </a:ext>
                </a:extLst>
              </xdr:cNvPr>
              <xdr:cNvSpPr/>
            </xdr:nvSpPr>
            <xdr:spPr bwMode="auto">
              <a:xfrm>
                <a:off x="561975" y="92011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13" name="CheckBox12" hidden="1">
                <a:extLst>
                  <a:ext uri="{63B3BB69-23CF-44E3-9099-C40C66FF867C}">
                    <a14:compatExt spid="_x0000_s14713"/>
                  </a:ext>
                  <a:ext uri="{FF2B5EF4-FFF2-40B4-BE49-F238E27FC236}">
                    <a16:creationId xmlns:a16="http://schemas.microsoft.com/office/drawing/2014/main" id="{00000000-0008-0000-0000-000079390000}"/>
                  </a:ext>
                </a:extLst>
              </xdr:cNvPr>
              <xdr:cNvSpPr/>
            </xdr:nvSpPr>
            <xdr:spPr bwMode="auto">
              <a:xfrm>
                <a:off x="561975" y="96964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714" name="CheckBox13" hidden="1">
                <a:extLst>
                  <a:ext uri="{63B3BB69-23CF-44E3-9099-C40C66FF867C}">
                    <a14:compatExt spid="_x0000_s14714"/>
                  </a:ext>
                  <a:ext uri="{FF2B5EF4-FFF2-40B4-BE49-F238E27FC236}">
                    <a16:creationId xmlns:a16="http://schemas.microsoft.com/office/drawing/2014/main" id="{00000000-0008-0000-0000-00007A390000}"/>
                  </a:ext>
                </a:extLst>
              </xdr:cNvPr>
              <xdr:cNvSpPr/>
            </xdr:nvSpPr>
            <xdr:spPr bwMode="auto">
              <a:xfrm>
                <a:off x="561975" y="10191750"/>
                <a:ext cx="247650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 editAs="oneCell">
    <xdr:from>
      <xdr:col>1</xdr:col>
      <xdr:colOff>9524</xdr:colOff>
      <xdr:row>0</xdr:row>
      <xdr:rowOff>28575</xdr:rowOff>
    </xdr:from>
    <xdr:to>
      <xdr:col>5</xdr:col>
      <xdr:colOff>184121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4" y="28575"/>
          <a:ext cx="2612997" cy="125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54</xdr:row>
          <xdr:rowOff>28575</xdr:rowOff>
        </xdr:from>
        <xdr:to>
          <xdr:col>1</xdr:col>
          <xdr:colOff>1419225</xdr:colOff>
          <xdr:row>55</xdr:row>
          <xdr:rowOff>180975</xdr:rowOff>
        </xdr:to>
        <xdr:grpSp>
          <xdr:nvGrpSpPr>
            <xdr:cNvPr id="9753" name="Group 1">
              <a:extLst>
                <a:ext uri="{FF2B5EF4-FFF2-40B4-BE49-F238E27FC236}">
                  <a16:creationId xmlns:a16="http://schemas.microsoft.com/office/drawing/2014/main" id="{00000000-0008-0000-0100-0000192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019300" y="10991850"/>
              <a:ext cx="1371600" cy="390525"/>
              <a:chOff x="2019300" y="10801350"/>
              <a:chExt cx="1371600" cy="390525"/>
            </a:xfrm>
          </xdr:grpSpPr>
          <xdr:sp macro="" textlink="">
            <xdr:nvSpPr>
              <xdr:cNvPr id="9670" name="OptionButton1" hidden="1">
                <a:extLst>
                  <a:ext uri="{63B3BB69-23CF-44E3-9099-C40C66FF867C}">
                    <a14:compatExt spid="_x0000_s9670"/>
                  </a:ext>
                  <a:ext uri="{FF2B5EF4-FFF2-40B4-BE49-F238E27FC236}">
                    <a16:creationId xmlns:a16="http://schemas.microsoft.com/office/drawing/2014/main" id="{00000000-0008-0000-0100-0000C6250000}"/>
                  </a:ext>
                </a:extLst>
              </xdr:cNvPr>
              <xdr:cNvSpPr/>
            </xdr:nvSpPr>
            <xdr:spPr bwMode="auto">
              <a:xfrm>
                <a:off x="2019300" y="11039475"/>
                <a:ext cx="13716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671" name="OptionButton2" hidden="1">
                <a:extLst>
                  <a:ext uri="{63B3BB69-23CF-44E3-9099-C40C66FF867C}">
                    <a14:compatExt spid="_x0000_s9671"/>
                  </a:ext>
                  <a:ext uri="{FF2B5EF4-FFF2-40B4-BE49-F238E27FC236}">
                    <a16:creationId xmlns:a16="http://schemas.microsoft.com/office/drawing/2014/main" id="{00000000-0008-0000-0100-0000C7250000}"/>
                  </a:ext>
                </a:extLst>
              </xdr:cNvPr>
              <xdr:cNvSpPr/>
            </xdr:nvSpPr>
            <xdr:spPr bwMode="auto">
              <a:xfrm>
                <a:off x="2019300" y="10801350"/>
                <a:ext cx="13716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641322</xdr:colOff>
      <xdr:row>5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2997" cy="1257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688947</xdr:colOff>
      <xdr:row>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2997" cy="1257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158909</xdr:colOff>
      <xdr:row>8</xdr:row>
      <xdr:rowOff>2241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2997" cy="1257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250797</xdr:colOff>
      <xdr:row>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2997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5.xml"/><Relationship Id="rId5" Type="http://schemas.openxmlformats.org/officeDocument/2006/relationships/image" Target="../media/image3.emf"/><Relationship Id="rId4" Type="http://schemas.openxmlformats.org/officeDocument/2006/relationships/control" Target="../activeX/activeX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3"/>
  </sheetPr>
  <dimension ref="A1:M37"/>
  <sheetViews>
    <sheetView zoomScaleNormal="100" workbookViewId="0">
      <selection activeCell="G6" sqref="G6"/>
    </sheetView>
  </sheetViews>
  <sheetFormatPr defaultRowHeight="12.75" x14ac:dyDescent="0.2"/>
  <cols>
    <col min="1" max="1" width="4.85546875" style="2" customWidth="1"/>
    <col min="2" max="10" width="9.140625" style="2"/>
    <col min="11" max="11" width="12" style="2" customWidth="1"/>
    <col min="12" max="12" width="20.140625" style="2" customWidth="1"/>
    <col min="13" max="13" width="5.85546875" style="2" customWidth="1"/>
    <col min="14" max="16384" width="9.140625" style="2"/>
  </cols>
  <sheetData>
    <row r="1" spans="1:13" ht="12" customHeight="1" x14ac:dyDescent="0.2">
      <c r="A1" s="48"/>
      <c r="B1" s="48"/>
      <c r="C1" s="48"/>
      <c r="D1" s="48"/>
    </row>
    <row r="2" spans="1:13" x14ac:dyDescent="0.2">
      <c r="A2" s="48"/>
      <c r="B2" s="122"/>
      <c r="C2" s="122"/>
      <c r="D2" s="122"/>
      <c r="E2" s="122"/>
    </row>
    <row r="3" spans="1:13" x14ac:dyDescent="0.2">
      <c r="A3" s="48"/>
      <c r="B3" s="122"/>
      <c r="C3" s="122"/>
      <c r="D3" s="122"/>
      <c r="E3" s="122"/>
    </row>
    <row r="4" spans="1:13" x14ac:dyDescent="0.2">
      <c r="A4" s="48"/>
      <c r="B4" s="122"/>
      <c r="C4" s="122"/>
      <c r="D4" s="122"/>
      <c r="E4" s="122"/>
    </row>
    <row r="5" spans="1:13" s="27" customFormat="1" ht="12.75" customHeight="1" x14ac:dyDescent="0.2">
      <c r="A5" s="48"/>
      <c r="B5" s="122"/>
      <c r="C5" s="122"/>
      <c r="D5" s="122"/>
      <c r="E5" s="122"/>
    </row>
    <row r="6" spans="1:13" s="27" customFormat="1" ht="12.75" customHeight="1" x14ac:dyDescent="0.2">
      <c r="A6" s="48"/>
      <c r="B6" s="122"/>
      <c r="C6" s="122"/>
      <c r="D6" s="122"/>
      <c r="E6" s="122"/>
    </row>
    <row r="7" spans="1:13" s="27" customFormat="1" ht="12.75" customHeight="1" x14ac:dyDescent="0.2">
      <c r="B7" s="122"/>
      <c r="C7" s="122"/>
      <c r="D7" s="122"/>
      <c r="E7" s="122"/>
      <c r="L7" s="27" t="s">
        <v>18</v>
      </c>
    </row>
    <row r="8" spans="1:13" s="27" customFormat="1" ht="12.75" customHeight="1" x14ac:dyDescent="0.2"/>
    <row r="9" spans="1:13" s="19" customFormat="1" ht="26.25" customHeight="1" x14ac:dyDescent="0.2">
      <c r="B9" s="120" t="s">
        <v>35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9" t="s">
        <v>18</v>
      </c>
    </row>
    <row r="10" spans="1:13" s="19" customFormat="1" ht="12.75" customHeight="1" x14ac:dyDescent="0.2"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</row>
    <row r="11" spans="1:13" s="27" customFormat="1" ht="23.25" customHeight="1" x14ac:dyDescent="0.2"/>
    <row r="12" spans="1:13" s="27" customFormat="1" ht="23.25" customHeight="1" x14ac:dyDescent="0.2"/>
    <row r="13" spans="1:13" s="27" customFormat="1" ht="23.25" customHeight="1" x14ac:dyDescent="0.2">
      <c r="B13" s="121" t="s">
        <v>138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</row>
    <row r="14" spans="1:13" s="27" customFormat="1" ht="15.75" x14ac:dyDescent="0.25">
      <c r="B14" s="31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s="27" customFormat="1" ht="18" x14ac:dyDescent="0.2">
      <c r="B15" s="29"/>
      <c r="C15" s="49" t="s">
        <v>137</v>
      </c>
    </row>
    <row r="16" spans="1:13" s="27" customFormat="1" ht="15" x14ac:dyDescent="0.2">
      <c r="C16" s="125" t="s">
        <v>139</v>
      </c>
      <c r="D16" s="125"/>
      <c r="E16" s="125"/>
      <c r="F16" s="125"/>
      <c r="G16" s="125"/>
      <c r="H16" s="125"/>
      <c r="I16" s="125"/>
      <c r="J16" s="125"/>
      <c r="K16" s="125"/>
      <c r="L16" s="125"/>
    </row>
    <row r="17" spans="1:12" s="27" customFormat="1" ht="15" x14ac:dyDescent="0.2">
      <c r="C17" s="125" t="s">
        <v>83</v>
      </c>
      <c r="D17" s="125"/>
      <c r="E17" s="125"/>
      <c r="F17" s="125"/>
      <c r="G17" s="125"/>
      <c r="H17" s="125"/>
      <c r="I17" s="125"/>
      <c r="J17" s="125"/>
      <c r="K17" s="125"/>
      <c r="L17" s="125"/>
    </row>
    <row r="18" spans="1:12" s="27" customFormat="1" ht="23.25" customHeight="1" x14ac:dyDescent="0.2"/>
    <row r="19" spans="1:12" s="27" customFormat="1" ht="22.5" customHeight="1" x14ac:dyDescent="0.2"/>
    <row r="20" spans="1:12" s="27" customFormat="1" ht="22.5" customHeight="1" x14ac:dyDescent="0.2">
      <c r="B20" s="121" t="s">
        <v>151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</row>
    <row r="21" spans="1:12" s="19" customFormat="1" ht="22.5" customHeight="1" x14ac:dyDescent="0.25">
      <c r="B21" s="32"/>
    </row>
    <row r="22" spans="1:12" s="19" customFormat="1" ht="39" customHeight="1" x14ac:dyDescent="0.2">
      <c r="B22" s="29"/>
      <c r="C22" s="123" t="s">
        <v>140</v>
      </c>
      <c r="D22" s="123"/>
      <c r="E22" s="123"/>
      <c r="F22" s="123"/>
      <c r="G22" s="123"/>
      <c r="H22" s="123"/>
      <c r="I22" s="123"/>
      <c r="J22" s="123"/>
      <c r="K22" s="123"/>
      <c r="L22" s="123"/>
    </row>
    <row r="23" spans="1:12" s="19" customFormat="1" ht="39" customHeight="1" x14ac:dyDescent="0.2">
      <c r="A23" s="28"/>
      <c r="B23" s="29"/>
      <c r="C23" s="123" t="s">
        <v>141</v>
      </c>
      <c r="D23" s="124"/>
      <c r="E23" s="124"/>
      <c r="F23" s="124"/>
      <c r="G23" s="124"/>
      <c r="H23" s="124"/>
      <c r="I23" s="124"/>
      <c r="J23" s="124"/>
      <c r="K23" s="124"/>
      <c r="L23" s="124"/>
    </row>
    <row r="24" spans="1:12" s="19" customFormat="1" ht="39" customHeight="1" x14ac:dyDescent="0.2">
      <c r="B24" s="29"/>
      <c r="C24" s="123" t="s">
        <v>142</v>
      </c>
      <c r="D24" s="124"/>
      <c r="E24" s="124"/>
      <c r="F24" s="124"/>
      <c r="G24" s="124"/>
      <c r="H24" s="124"/>
      <c r="I24" s="124"/>
      <c r="J24" s="124"/>
      <c r="K24" s="124"/>
      <c r="L24" s="124"/>
    </row>
    <row r="25" spans="1:12" ht="39" customHeight="1" x14ac:dyDescent="0.2">
      <c r="B25" s="29"/>
      <c r="C25" s="123" t="s">
        <v>143</v>
      </c>
      <c r="D25" s="124"/>
      <c r="E25" s="124"/>
      <c r="F25" s="124"/>
      <c r="G25" s="124"/>
      <c r="H25" s="124"/>
      <c r="I25" s="124"/>
      <c r="J25" s="124"/>
      <c r="K25" s="124"/>
      <c r="L25" s="124"/>
    </row>
    <row r="26" spans="1:12" ht="39" customHeight="1" x14ac:dyDescent="0.2">
      <c r="B26" s="29"/>
      <c r="C26" s="123" t="s">
        <v>144</v>
      </c>
      <c r="D26" s="124"/>
      <c r="E26" s="124"/>
      <c r="F26" s="124"/>
      <c r="G26" s="124"/>
      <c r="H26" s="124"/>
      <c r="I26" s="124"/>
      <c r="J26" s="124"/>
      <c r="K26" s="124"/>
      <c r="L26" s="124"/>
    </row>
    <row r="27" spans="1:12" ht="39" customHeight="1" x14ac:dyDescent="0.2">
      <c r="B27" s="29"/>
      <c r="C27" s="123" t="s">
        <v>145</v>
      </c>
      <c r="D27" s="124"/>
      <c r="E27" s="124"/>
      <c r="F27" s="124"/>
      <c r="G27" s="124"/>
      <c r="H27" s="124"/>
      <c r="I27" s="124"/>
      <c r="J27" s="124"/>
      <c r="K27" s="124"/>
      <c r="L27" s="124"/>
    </row>
    <row r="28" spans="1:12" ht="39" customHeight="1" x14ac:dyDescent="0.2">
      <c r="B28" s="29"/>
      <c r="C28" s="123" t="s">
        <v>146</v>
      </c>
      <c r="D28" s="124"/>
      <c r="E28" s="124"/>
      <c r="F28" s="124"/>
      <c r="G28" s="124"/>
      <c r="H28" s="124"/>
      <c r="I28" s="124"/>
      <c r="J28" s="124"/>
      <c r="K28" s="124"/>
      <c r="L28" s="124"/>
    </row>
    <row r="29" spans="1:12" ht="39" customHeight="1" x14ac:dyDescent="0.2">
      <c r="B29" s="29"/>
      <c r="C29" s="123" t="s">
        <v>147</v>
      </c>
      <c r="D29" s="124"/>
      <c r="E29" s="124"/>
      <c r="F29" s="124"/>
      <c r="G29" s="124"/>
      <c r="H29" s="124"/>
      <c r="I29" s="124"/>
      <c r="J29" s="124"/>
      <c r="K29" s="124"/>
      <c r="L29" s="124"/>
    </row>
    <row r="30" spans="1:12" ht="39" customHeight="1" x14ac:dyDescent="0.2">
      <c r="B30" s="29"/>
      <c r="C30" s="123" t="s">
        <v>148</v>
      </c>
      <c r="D30" s="124"/>
      <c r="E30" s="124"/>
      <c r="F30" s="124"/>
      <c r="G30" s="124"/>
      <c r="H30" s="124"/>
      <c r="I30" s="124"/>
      <c r="J30" s="124"/>
      <c r="K30" s="124"/>
      <c r="L30" s="124"/>
    </row>
    <row r="31" spans="1:12" ht="39" customHeight="1" x14ac:dyDescent="0.2">
      <c r="B31" s="29"/>
      <c r="C31" s="123" t="s">
        <v>149</v>
      </c>
      <c r="D31" s="124"/>
      <c r="E31" s="124"/>
      <c r="F31" s="124"/>
      <c r="G31" s="124"/>
      <c r="H31" s="124"/>
      <c r="I31" s="124"/>
      <c r="J31" s="124"/>
      <c r="K31" s="124"/>
      <c r="L31" s="124"/>
    </row>
    <row r="32" spans="1:12" ht="39" customHeight="1" x14ac:dyDescent="0.2">
      <c r="B32" s="29"/>
      <c r="C32" s="123" t="s">
        <v>150</v>
      </c>
      <c r="D32" s="124"/>
      <c r="E32" s="124"/>
      <c r="F32" s="124"/>
      <c r="G32" s="124"/>
      <c r="H32" s="124"/>
      <c r="I32" s="124"/>
      <c r="J32" s="124"/>
      <c r="K32" s="124"/>
      <c r="L32" s="124"/>
    </row>
    <row r="33" spans="2:12" ht="39" customHeight="1" x14ac:dyDescent="0.2">
      <c r="B33" s="29"/>
      <c r="C33" s="123" t="s">
        <v>178</v>
      </c>
      <c r="D33" s="124"/>
      <c r="E33" s="124"/>
      <c r="F33" s="124"/>
      <c r="G33" s="124"/>
      <c r="H33" s="124"/>
      <c r="I33" s="124"/>
      <c r="J33" s="124"/>
      <c r="K33" s="124"/>
      <c r="L33" s="124"/>
    </row>
    <row r="34" spans="2:12" ht="22.5" customHeight="1" x14ac:dyDescent="0.2"/>
    <row r="37" spans="2:12" x14ac:dyDescent="0.2">
      <c r="B37" s="126" t="s">
        <v>136</v>
      </c>
      <c r="C37" s="126"/>
      <c r="D37" s="126"/>
      <c r="E37" s="126"/>
      <c r="F37" s="126"/>
      <c r="G37" s="126"/>
      <c r="H37" s="126"/>
      <c r="I37" s="126"/>
      <c r="J37" s="126"/>
      <c r="K37" s="126"/>
      <c r="L37" s="126"/>
    </row>
  </sheetData>
  <mergeCells count="19">
    <mergeCell ref="C30:L30"/>
    <mergeCell ref="C31:L31"/>
    <mergeCell ref="C32:L32"/>
    <mergeCell ref="B37:L37"/>
    <mergeCell ref="B20:L20"/>
    <mergeCell ref="C24:L24"/>
    <mergeCell ref="C25:L25"/>
    <mergeCell ref="C26:L26"/>
    <mergeCell ref="C33:L33"/>
    <mergeCell ref="C27:L27"/>
    <mergeCell ref="C28:L28"/>
    <mergeCell ref="C29:L29"/>
    <mergeCell ref="B9:L10"/>
    <mergeCell ref="B13:L13"/>
    <mergeCell ref="B2:E7"/>
    <mergeCell ref="C22:L22"/>
    <mergeCell ref="C23:L23"/>
    <mergeCell ref="C16:L16"/>
    <mergeCell ref="C17:L17"/>
  </mergeCells>
  <phoneticPr fontId="2" type="noConversion"/>
  <pageMargins left="0.15" right="0.15" top="0.15" bottom="0.15" header="0" footer="0"/>
  <pageSetup scale="85" orientation="portrait" horizontalDpi="1200" vertic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4702" r:id="rId4" name="CheckBox1">
          <controlPr autoLine="0" r:id="rId5">
            <anchor moveWithCells="1" sizeWithCells="1">
              <from>
                <xdr:col>1</xdr:col>
                <xdr:colOff>257175</xdr:colOff>
                <xdr:row>14</xdr:row>
                <xdr:rowOff>0</xdr:rowOff>
              </from>
              <to>
                <xdr:col>1</xdr:col>
                <xdr:colOff>504825</xdr:colOff>
                <xdr:row>15</xdr:row>
                <xdr:rowOff>28575</xdr:rowOff>
              </to>
            </anchor>
          </controlPr>
        </control>
      </mc:Choice>
      <mc:Fallback>
        <control shapeId="14702" r:id="rId4" name="CheckBox1"/>
      </mc:Fallback>
    </mc:AlternateContent>
    <mc:AlternateContent xmlns:mc="http://schemas.openxmlformats.org/markup-compatibility/2006">
      <mc:Choice Requires="x14">
        <control shapeId="14703" r:id="rId6" name="CheckBox2">
          <controlPr autoLine="0" r:id="rId5">
            <anchor moveWithCells="1" sizeWithCells="1">
              <from>
                <xdr:col>1</xdr:col>
                <xdr:colOff>238125</xdr:colOff>
                <xdr:row>21</xdr:row>
                <xdr:rowOff>114300</xdr:rowOff>
              </from>
              <to>
                <xdr:col>1</xdr:col>
                <xdr:colOff>485775</xdr:colOff>
                <xdr:row>21</xdr:row>
                <xdr:rowOff>371475</xdr:rowOff>
              </to>
            </anchor>
          </controlPr>
        </control>
      </mc:Choice>
      <mc:Fallback>
        <control shapeId="14703" r:id="rId6" name="CheckBox2"/>
      </mc:Fallback>
    </mc:AlternateContent>
    <mc:AlternateContent xmlns:mc="http://schemas.openxmlformats.org/markup-compatibility/2006">
      <mc:Choice Requires="x14">
        <control shapeId="14704" r:id="rId7" name="CheckBox3">
          <controlPr autoLine="0" r:id="rId5">
            <anchor moveWithCells="1" sizeWithCells="1">
              <from>
                <xdr:col>1</xdr:col>
                <xdr:colOff>238125</xdr:colOff>
                <xdr:row>22</xdr:row>
                <xdr:rowOff>114300</xdr:rowOff>
              </from>
              <to>
                <xdr:col>1</xdr:col>
                <xdr:colOff>485775</xdr:colOff>
                <xdr:row>22</xdr:row>
                <xdr:rowOff>371475</xdr:rowOff>
              </to>
            </anchor>
          </controlPr>
        </control>
      </mc:Choice>
      <mc:Fallback>
        <control shapeId="14704" r:id="rId7" name="CheckBox3"/>
      </mc:Fallback>
    </mc:AlternateContent>
    <mc:AlternateContent xmlns:mc="http://schemas.openxmlformats.org/markup-compatibility/2006">
      <mc:Choice Requires="x14">
        <control shapeId="14705" r:id="rId8" name="CheckBox4">
          <controlPr autoLine="0" r:id="rId5">
            <anchor moveWithCells="1" sizeWithCells="1">
              <from>
                <xdr:col>1</xdr:col>
                <xdr:colOff>238125</xdr:colOff>
                <xdr:row>23</xdr:row>
                <xdr:rowOff>114300</xdr:rowOff>
              </from>
              <to>
                <xdr:col>1</xdr:col>
                <xdr:colOff>485775</xdr:colOff>
                <xdr:row>23</xdr:row>
                <xdr:rowOff>371475</xdr:rowOff>
              </to>
            </anchor>
          </controlPr>
        </control>
      </mc:Choice>
      <mc:Fallback>
        <control shapeId="14705" r:id="rId8" name="CheckBox4"/>
      </mc:Fallback>
    </mc:AlternateContent>
    <mc:AlternateContent xmlns:mc="http://schemas.openxmlformats.org/markup-compatibility/2006">
      <mc:Choice Requires="x14">
        <control shapeId="14706" r:id="rId9" name="CheckBox5">
          <controlPr autoLine="0" r:id="rId5">
            <anchor moveWithCells="1" sizeWithCells="1">
              <from>
                <xdr:col>1</xdr:col>
                <xdr:colOff>238125</xdr:colOff>
                <xdr:row>24</xdr:row>
                <xdr:rowOff>114300</xdr:rowOff>
              </from>
              <to>
                <xdr:col>1</xdr:col>
                <xdr:colOff>485775</xdr:colOff>
                <xdr:row>24</xdr:row>
                <xdr:rowOff>371475</xdr:rowOff>
              </to>
            </anchor>
          </controlPr>
        </control>
      </mc:Choice>
      <mc:Fallback>
        <control shapeId="14706" r:id="rId9" name="CheckBox5"/>
      </mc:Fallback>
    </mc:AlternateContent>
    <mc:AlternateContent xmlns:mc="http://schemas.openxmlformats.org/markup-compatibility/2006">
      <mc:Choice Requires="x14">
        <control shapeId="14707" r:id="rId10" name="CheckBox6">
          <controlPr autoLine="0" r:id="rId5">
            <anchor moveWithCells="1" sizeWithCells="1">
              <from>
                <xdr:col>1</xdr:col>
                <xdr:colOff>238125</xdr:colOff>
                <xdr:row>25</xdr:row>
                <xdr:rowOff>114300</xdr:rowOff>
              </from>
              <to>
                <xdr:col>1</xdr:col>
                <xdr:colOff>485775</xdr:colOff>
                <xdr:row>25</xdr:row>
                <xdr:rowOff>371475</xdr:rowOff>
              </to>
            </anchor>
          </controlPr>
        </control>
      </mc:Choice>
      <mc:Fallback>
        <control shapeId="14707" r:id="rId10" name="CheckBox6"/>
      </mc:Fallback>
    </mc:AlternateContent>
    <mc:AlternateContent xmlns:mc="http://schemas.openxmlformats.org/markup-compatibility/2006">
      <mc:Choice Requires="x14">
        <control shapeId="14708" r:id="rId11" name="CheckBox7">
          <controlPr autoLine="0" r:id="rId5">
            <anchor moveWithCells="1" sizeWithCells="1">
              <from>
                <xdr:col>1</xdr:col>
                <xdr:colOff>238125</xdr:colOff>
                <xdr:row>26</xdr:row>
                <xdr:rowOff>114300</xdr:rowOff>
              </from>
              <to>
                <xdr:col>1</xdr:col>
                <xdr:colOff>485775</xdr:colOff>
                <xdr:row>26</xdr:row>
                <xdr:rowOff>371475</xdr:rowOff>
              </to>
            </anchor>
          </controlPr>
        </control>
      </mc:Choice>
      <mc:Fallback>
        <control shapeId="14708" r:id="rId11" name="CheckBox7"/>
      </mc:Fallback>
    </mc:AlternateContent>
    <mc:AlternateContent xmlns:mc="http://schemas.openxmlformats.org/markup-compatibility/2006">
      <mc:Choice Requires="x14">
        <control shapeId="14709" r:id="rId12" name="CheckBox8">
          <controlPr autoLine="0" r:id="rId5">
            <anchor moveWithCells="1" sizeWithCells="1">
              <from>
                <xdr:col>1</xdr:col>
                <xdr:colOff>238125</xdr:colOff>
                <xdr:row>27</xdr:row>
                <xdr:rowOff>114300</xdr:rowOff>
              </from>
              <to>
                <xdr:col>1</xdr:col>
                <xdr:colOff>485775</xdr:colOff>
                <xdr:row>27</xdr:row>
                <xdr:rowOff>371475</xdr:rowOff>
              </to>
            </anchor>
          </controlPr>
        </control>
      </mc:Choice>
      <mc:Fallback>
        <control shapeId="14709" r:id="rId12" name="CheckBox8"/>
      </mc:Fallback>
    </mc:AlternateContent>
    <mc:AlternateContent xmlns:mc="http://schemas.openxmlformats.org/markup-compatibility/2006">
      <mc:Choice Requires="x14">
        <control shapeId="14710" r:id="rId13" name="CheckBox9">
          <controlPr autoLine="0" r:id="rId5">
            <anchor moveWithCells="1" sizeWithCells="1">
              <from>
                <xdr:col>1</xdr:col>
                <xdr:colOff>238125</xdr:colOff>
                <xdr:row>28</xdr:row>
                <xdr:rowOff>114300</xdr:rowOff>
              </from>
              <to>
                <xdr:col>1</xdr:col>
                <xdr:colOff>485775</xdr:colOff>
                <xdr:row>28</xdr:row>
                <xdr:rowOff>371475</xdr:rowOff>
              </to>
            </anchor>
          </controlPr>
        </control>
      </mc:Choice>
      <mc:Fallback>
        <control shapeId="14710" r:id="rId13" name="CheckBox9"/>
      </mc:Fallback>
    </mc:AlternateContent>
    <mc:AlternateContent xmlns:mc="http://schemas.openxmlformats.org/markup-compatibility/2006">
      <mc:Choice Requires="x14">
        <control shapeId="14711" r:id="rId14" name="CheckBox10">
          <controlPr autoLine="0" r:id="rId5">
            <anchor moveWithCells="1" sizeWithCells="1">
              <from>
                <xdr:col>1</xdr:col>
                <xdr:colOff>238125</xdr:colOff>
                <xdr:row>29</xdr:row>
                <xdr:rowOff>114300</xdr:rowOff>
              </from>
              <to>
                <xdr:col>1</xdr:col>
                <xdr:colOff>485775</xdr:colOff>
                <xdr:row>29</xdr:row>
                <xdr:rowOff>371475</xdr:rowOff>
              </to>
            </anchor>
          </controlPr>
        </control>
      </mc:Choice>
      <mc:Fallback>
        <control shapeId="14711" r:id="rId14" name="CheckBox10"/>
      </mc:Fallback>
    </mc:AlternateContent>
    <mc:AlternateContent xmlns:mc="http://schemas.openxmlformats.org/markup-compatibility/2006">
      <mc:Choice Requires="x14">
        <control shapeId="14712" r:id="rId15" name="CheckBox11">
          <controlPr autoLine="0" r:id="rId5">
            <anchor moveWithCells="1" sizeWithCells="1">
              <from>
                <xdr:col>1</xdr:col>
                <xdr:colOff>238125</xdr:colOff>
                <xdr:row>30</xdr:row>
                <xdr:rowOff>114300</xdr:rowOff>
              </from>
              <to>
                <xdr:col>1</xdr:col>
                <xdr:colOff>485775</xdr:colOff>
                <xdr:row>30</xdr:row>
                <xdr:rowOff>371475</xdr:rowOff>
              </to>
            </anchor>
          </controlPr>
        </control>
      </mc:Choice>
      <mc:Fallback>
        <control shapeId="14712" r:id="rId15" name="CheckBox11"/>
      </mc:Fallback>
    </mc:AlternateContent>
    <mc:AlternateContent xmlns:mc="http://schemas.openxmlformats.org/markup-compatibility/2006">
      <mc:Choice Requires="x14">
        <control shapeId="14713" r:id="rId16" name="CheckBox12">
          <controlPr autoLine="0" r:id="rId5">
            <anchor moveWithCells="1" sizeWithCells="1">
              <from>
                <xdr:col>1</xdr:col>
                <xdr:colOff>238125</xdr:colOff>
                <xdr:row>31</xdr:row>
                <xdr:rowOff>114300</xdr:rowOff>
              </from>
              <to>
                <xdr:col>1</xdr:col>
                <xdr:colOff>485775</xdr:colOff>
                <xdr:row>31</xdr:row>
                <xdr:rowOff>371475</xdr:rowOff>
              </to>
            </anchor>
          </controlPr>
        </control>
      </mc:Choice>
      <mc:Fallback>
        <control shapeId="14713" r:id="rId16" name="CheckBox12"/>
      </mc:Fallback>
    </mc:AlternateContent>
    <mc:AlternateContent xmlns:mc="http://schemas.openxmlformats.org/markup-compatibility/2006">
      <mc:Choice Requires="x14">
        <control shapeId="14714" r:id="rId17" name="CheckBox13">
          <controlPr autoLine="0" r:id="rId5">
            <anchor moveWithCells="1" sizeWithCells="1">
              <from>
                <xdr:col>1</xdr:col>
                <xdr:colOff>238125</xdr:colOff>
                <xdr:row>32</xdr:row>
                <xdr:rowOff>114300</xdr:rowOff>
              </from>
              <to>
                <xdr:col>1</xdr:col>
                <xdr:colOff>485775</xdr:colOff>
                <xdr:row>32</xdr:row>
                <xdr:rowOff>371475</xdr:rowOff>
              </to>
            </anchor>
          </controlPr>
        </control>
      </mc:Choice>
      <mc:Fallback>
        <control shapeId="14714" r:id="rId17" name="CheckBox1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8"/>
  </sheetPr>
  <dimension ref="A1:P123"/>
  <sheetViews>
    <sheetView topLeftCell="A42" zoomScaleNormal="100" workbookViewId="0">
      <selection activeCell="B68" sqref="B68:C68"/>
    </sheetView>
  </sheetViews>
  <sheetFormatPr defaultRowHeight="12.75" x14ac:dyDescent="0.2"/>
  <cols>
    <col min="1" max="1" width="29.5703125" style="2" customWidth="1"/>
    <col min="2" max="2" width="28.140625" style="3" customWidth="1"/>
    <col min="3" max="3" width="32.5703125" style="2" customWidth="1"/>
    <col min="4" max="4" width="31.7109375" style="2" customWidth="1"/>
    <col min="5" max="5" width="16.42578125" style="2" customWidth="1"/>
    <col min="6" max="6" width="12.5703125" style="4" customWidth="1"/>
    <col min="7" max="7" width="12.85546875" style="4" customWidth="1"/>
    <col min="8" max="8" width="26.140625" style="4" customWidth="1"/>
    <col min="9" max="12" width="9.140625" style="4"/>
    <col min="13" max="15" width="9.140625" style="2"/>
    <col min="16" max="16" width="9.140625" style="2" customWidth="1"/>
    <col min="17" max="16384" width="9.140625" style="2"/>
  </cols>
  <sheetData>
    <row r="1" spans="1:16" ht="12.75" customHeight="1" x14ac:dyDescent="0.2">
      <c r="A1" s="141"/>
      <c r="B1" s="141"/>
      <c r="D1" s="45"/>
      <c r="E1" s="127" t="s">
        <v>171</v>
      </c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16" ht="26.25" customHeight="1" x14ac:dyDescent="0.35">
      <c r="A2" s="141"/>
      <c r="B2" s="141"/>
      <c r="C2" s="137" t="s">
        <v>176</v>
      </c>
      <c r="D2" s="13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1:16" ht="26.25" customHeight="1" x14ac:dyDescent="0.35">
      <c r="A3" s="141"/>
      <c r="B3" s="141"/>
      <c r="C3" s="137" t="s">
        <v>177</v>
      </c>
      <c r="D3" s="13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</row>
    <row r="4" spans="1:16" ht="12.75" customHeight="1" x14ac:dyDescent="0.2">
      <c r="A4" s="141"/>
      <c r="B4" s="141"/>
      <c r="D4" s="45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</row>
    <row r="5" spans="1:16" ht="12.75" customHeight="1" x14ac:dyDescent="0.2">
      <c r="A5" s="141"/>
      <c r="B5" s="141"/>
      <c r="D5" s="45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</row>
    <row r="6" spans="1:16" ht="12.75" customHeight="1" x14ac:dyDescent="0.2"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</row>
    <row r="7" spans="1:16" ht="12.75" customHeight="1" x14ac:dyDescent="0.2"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</row>
    <row r="8" spans="1:16" ht="41.25" customHeight="1" x14ac:dyDescent="0.2">
      <c r="A8" s="145" t="s">
        <v>56</v>
      </c>
      <c r="B8" s="146"/>
      <c r="C8" s="146"/>
      <c r="D8" s="146"/>
      <c r="E8" s="131" t="s">
        <v>172</v>
      </c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</row>
    <row r="9" spans="1:16" s="44" customFormat="1" ht="30" customHeight="1" x14ac:dyDescent="0.25">
      <c r="A9" s="147" t="s">
        <v>179</v>
      </c>
      <c r="B9" s="147"/>
      <c r="C9" s="147"/>
      <c r="D9" s="147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</row>
    <row r="10" spans="1:16" ht="2.25" customHeight="1" x14ac:dyDescent="0.2">
      <c r="A10" s="50"/>
      <c r="B10" s="5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</row>
    <row r="11" spans="1:16" ht="17.25" customHeight="1" x14ac:dyDescent="0.2">
      <c r="A11" s="128" t="s">
        <v>0</v>
      </c>
      <c r="B11" s="128"/>
      <c r="C11" s="128"/>
      <c r="D11" s="128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</row>
    <row r="12" spans="1:16" ht="12.75" customHeight="1" x14ac:dyDescent="0.2">
      <c r="A12" s="59" t="s">
        <v>16</v>
      </c>
      <c r="B12" s="60" t="s">
        <v>202</v>
      </c>
      <c r="C12" s="59" t="s">
        <v>96</v>
      </c>
      <c r="D12" s="92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</row>
    <row r="13" spans="1:16" ht="12.75" customHeight="1" x14ac:dyDescent="0.2">
      <c r="A13" s="59" t="s">
        <v>36</v>
      </c>
      <c r="B13" s="61"/>
      <c r="C13" s="59" t="s">
        <v>97</v>
      </c>
      <c r="D13" s="92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</row>
    <row r="14" spans="1:16" ht="12.75" customHeight="1" x14ac:dyDescent="0.2">
      <c r="A14" s="59" t="s">
        <v>37</v>
      </c>
      <c r="B14" s="62">
        <f ca="1">TODAY()</f>
        <v>45832</v>
      </c>
      <c r="C14" s="59" t="s">
        <v>98</v>
      </c>
      <c r="D14" s="92"/>
      <c r="E14" s="132" t="s">
        <v>175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1:16" ht="12.75" customHeight="1" x14ac:dyDescent="0.2">
      <c r="A15" s="63" t="s">
        <v>133</v>
      </c>
      <c r="B15" s="62">
        <f ca="1">TODAY()</f>
        <v>45832</v>
      </c>
      <c r="C15" s="59" t="s">
        <v>99</v>
      </c>
      <c r="D15" s="92"/>
      <c r="E15" s="132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</row>
    <row r="16" spans="1:16" ht="12.75" customHeight="1" x14ac:dyDescent="0.2">
      <c r="A16" s="63" t="s">
        <v>101</v>
      </c>
      <c r="B16" s="62" t="s">
        <v>201</v>
      </c>
      <c r="C16" s="59" t="s">
        <v>100</v>
      </c>
      <c r="D16" s="92"/>
      <c r="E16" s="132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1:16" ht="12.75" customHeight="1" x14ac:dyDescent="0.2">
      <c r="A17" s="63" t="s">
        <v>31</v>
      </c>
      <c r="B17" s="101"/>
      <c r="C17" s="59" t="s">
        <v>102</v>
      </c>
      <c r="D17" s="92"/>
      <c r="E17" s="132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1:16" ht="17.25" customHeight="1" x14ac:dyDescent="0.2">
      <c r="A18" s="128" t="s">
        <v>38</v>
      </c>
      <c r="B18" s="128"/>
      <c r="C18" s="128"/>
      <c r="D18" s="128"/>
      <c r="E18" s="132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1:16" ht="15" customHeight="1" thickBot="1" x14ac:dyDescent="0.25">
      <c r="A19" s="129" t="s">
        <v>39</v>
      </c>
      <c r="B19" s="129"/>
      <c r="C19" s="130" t="s">
        <v>40</v>
      </c>
      <c r="D19" s="130"/>
      <c r="E19" s="132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</row>
    <row r="20" spans="1:16" s="22" customFormat="1" ht="13.5" customHeight="1" x14ac:dyDescent="0.25">
      <c r="A20" s="59" t="s">
        <v>41</v>
      </c>
      <c r="B20" s="60" t="s">
        <v>193</v>
      </c>
      <c r="C20" s="59" t="s">
        <v>185</v>
      </c>
      <c r="D20" s="93"/>
      <c r="E20" s="134" t="s">
        <v>181</v>
      </c>
      <c r="F20"/>
      <c r="G20"/>
      <c r="H20"/>
      <c r="I20"/>
      <c r="J20"/>
      <c r="K20"/>
      <c r="L20"/>
      <c r="M20"/>
      <c r="N20"/>
      <c r="O20"/>
      <c r="P20"/>
    </row>
    <row r="21" spans="1:16" s="22" customFormat="1" ht="13.5" customHeight="1" x14ac:dyDescent="0.25">
      <c r="A21" s="59" t="s">
        <v>10</v>
      </c>
      <c r="B21" s="60" t="s">
        <v>194</v>
      </c>
      <c r="C21" s="59" t="s">
        <v>182</v>
      </c>
      <c r="D21" s="93" t="str">
        <f>B21</f>
        <v>132745 Lovington HWY</v>
      </c>
      <c r="E21" s="135"/>
      <c r="F21"/>
      <c r="G21"/>
      <c r="H21"/>
      <c r="I21"/>
      <c r="J21"/>
      <c r="K21"/>
      <c r="L21"/>
      <c r="M21"/>
      <c r="N21"/>
      <c r="O21"/>
      <c r="P21"/>
    </row>
    <row r="22" spans="1:16" s="22" customFormat="1" ht="13.5" customHeight="1" x14ac:dyDescent="0.25">
      <c r="A22" s="59" t="s">
        <v>180</v>
      </c>
      <c r="B22" s="60" t="s">
        <v>195</v>
      </c>
      <c r="C22" s="59" t="s">
        <v>183</v>
      </c>
      <c r="D22" s="93" t="str">
        <f>addressste</f>
        <v>P.O. Box 98</v>
      </c>
      <c r="E22" s="135"/>
      <c r="F22"/>
      <c r="G22"/>
      <c r="H22"/>
      <c r="I22"/>
      <c r="J22"/>
      <c r="K22"/>
      <c r="L22"/>
      <c r="M22"/>
      <c r="N22"/>
      <c r="O22"/>
      <c r="P22"/>
    </row>
    <row r="23" spans="1:16" s="22" customFormat="1" ht="13.5" customHeight="1" x14ac:dyDescent="0.25">
      <c r="A23" s="59" t="s">
        <v>11</v>
      </c>
      <c r="B23" s="60" t="s">
        <v>196</v>
      </c>
      <c r="C23" s="59" t="s">
        <v>2</v>
      </c>
      <c r="D23" s="93" t="str">
        <f>B23</f>
        <v>Loco Hills</v>
      </c>
      <c r="E23" s="135"/>
      <c r="F23"/>
      <c r="G23"/>
      <c r="H23"/>
      <c r="I23"/>
      <c r="J23"/>
      <c r="K23"/>
      <c r="L23"/>
      <c r="M23"/>
      <c r="N23"/>
      <c r="O23"/>
      <c r="P23"/>
    </row>
    <row r="24" spans="1:16" s="22" customFormat="1" ht="13.5" customHeight="1" x14ac:dyDescent="0.25">
      <c r="A24" s="59" t="s">
        <v>34</v>
      </c>
      <c r="B24" s="60" t="s">
        <v>198</v>
      </c>
      <c r="C24" s="59" t="s">
        <v>1</v>
      </c>
      <c r="D24" s="93" t="str">
        <f>county</f>
        <v>EDDY</v>
      </c>
      <c r="E24" s="135"/>
      <c r="F24"/>
      <c r="G24"/>
      <c r="H24"/>
      <c r="I24"/>
      <c r="J24"/>
      <c r="K24"/>
      <c r="L24"/>
      <c r="M24"/>
      <c r="N24"/>
      <c r="O24"/>
      <c r="P24"/>
    </row>
    <row r="25" spans="1:16" s="22" customFormat="1" ht="13.5" customHeight="1" x14ac:dyDescent="0.25">
      <c r="A25" s="59" t="s">
        <v>12</v>
      </c>
      <c r="B25" s="60" t="s">
        <v>197</v>
      </c>
      <c r="C25" s="59" t="s">
        <v>42</v>
      </c>
      <c r="D25" s="93"/>
      <c r="E25" s="135"/>
      <c r="F25"/>
      <c r="G25"/>
      <c r="H25"/>
      <c r="I25"/>
      <c r="J25"/>
      <c r="K25"/>
      <c r="L25"/>
      <c r="M25"/>
      <c r="N25"/>
      <c r="O25"/>
      <c r="P25"/>
    </row>
    <row r="26" spans="1:16" s="22" customFormat="1" ht="14.25" customHeight="1" x14ac:dyDescent="0.25">
      <c r="A26" s="59" t="s">
        <v>43</v>
      </c>
      <c r="B26" s="60">
        <v>88255</v>
      </c>
      <c r="C26" s="59" t="s">
        <v>44</v>
      </c>
      <c r="D26" s="93">
        <f>B26</f>
        <v>88255</v>
      </c>
      <c r="E26" s="135"/>
      <c r="F26"/>
      <c r="G26"/>
      <c r="H26"/>
      <c r="I26"/>
      <c r="J26"/>
      <c r="K26"/>
      <c r="L26"/>
      <c r="M26"/>
      <c r="N26"/>
      <c r="O26"/>
      <c r="P26"/>
    </row>
    <row r="27" spans="1:16" s="22" customFormat="1" ht="13.5" x14ac:dyDescent="0.25">
      <c r="A27" s="59" t="s">
        <v>45</v>
      </c>
      <c r="B27" s="64" t="s">
        <v>199</v>
      </c>
      <c r="C27" s="59" t="s">
        <v>184</v>
      </c>
      <c r="D27" s="93"/>
      <c r="E27" s="135"/>
      <c r="F27"/>
      <c r="G27"/>
      <c r="H27"/>
      <c r="I27"/>
      <c r="J27"/>
      <c r="K27"/>
      <c r="L27"/>
      <c r="M27"/>
      <c r="N27"/>
      <c r="O27"/>
      <c r="P27"/>
    </row>
    <row r="28" spans="1:16" s="22" customFormat="1" ht="13.5" x14ac:dyDescent="0.25">
      <c r="A28" s="59" t="s">
        <v>46</v>
      </c>
      <c r="B28" s="64" t="s">
        <v>200</v>
      </c>
      <c r="C28" s="59" t="s">
        <v>186</v>
      </c>
      <c r="D28" s="93"/>
      <c r="E28" s="135"/>
      <c r="F28" s="23"/>
      <c r="G28" s="23"/>
      <c r="H28" s="23"/>
      <c r="I28" s="23"/>
      <c r="J28" s="23"/>
      <c r="K28" s="23"/>
      <c r="L28" s="23"/>
    </row>
    <row r="29" spans="1:16" s="22" customFormat="1" ht="13.5" x14ac:dyDescent="0.25">
      <c r="A29" s="59" t="s">
        <v>189</v>
      </c>
      <c r="B29" s="60"/>
      <c r="C29" s="59" t="s">
        <v>187</v>
      </c>
      <c r="D29" s="93"/>
      <c r="E29" s="135"/>
      <c r="F29" s="23"/>
      <c r="G29" s="23"/>
      <c r="H29" s="23"/>
      <c r="I29" s="23"/>
      <c r="J29" s="23"/>
      <c r="K29" s="23"/>
      <c r="L29" s="23"/>
    </row>
    <row r="30" spans="1:16" s="22" customFormat="1" ht="14.25" thickBot="1" x14ac:dyDescent="0.3">
      <c r="A30" s="59" t="s">
        <v>13</v>
      </c>
      <c r="B30" s="60" t="s">
        <v>18</v>
      </c>
      <c r="C30" s="59" t="s">
        <v>188</v>
      </c>
      <c r="D30" s="93"/>
      <c r="E30" s="136"/>
      <c r="F30" s="23"/>
      <c r="G30" s="23"/>
      <c r="H30" s="23"/>
      <c r="I30" s="23"/>
      <c r="J30" s="23"/>
      <c r="K30" s="23"/>
      <c r="L30" s="23"/>
    </row>
    <row r="31" spans="1:16" s="22" customFormat="1" ht="13.5" x14ac:dyDescent="0.25">
      <c r="A31" s="59" t="s">
        <v>134</v>
      </c>
      <c r="B31" s="61"/>
      <c r="C31" s="59" t="s">
        <v>30</v>
      </c>
      <c r="D31" s="92"/>
      <c r="F31" s="23"/>
      <c r="G31" s="23"/>
      <c r="H31" s="23"/>
      <c r="I31" s="23"/>
      <c r="J31" s="23"/>
      <c r="K31" s="23"/>
      <c r="L31" s="23"/>
    </row>
    <row r="32" spans="1:16" s="22" customFormat="1" ht="13.5" x14ac:dyDescent="0.25">
      <c r="A32" s="59" t="s">
        <v>135</v>
      </c>
      <c r="B32" s="92"/>
      <c r="C32" s="59" t="s">
        <v>106</v>
      </c>
      <c r="D32" s="92"/>
      <c r="F32" s="23"/>
      <c r="G32" s="23"/>
      <c r="H32" s="23"/>
      <c r="I32" s="23"/>
      <c r="J32" s="23"/>
      <c r="K32" s="23"/>
      <c r="L32" s="23"/>
    </row>
    <row r="33" spans="1:12" s="22" customFormat="1" ht="13.5" x14ac:dyDescent="0.25">
      <c r="A33" s="59" t="s">
        <v>103</v>
      </c>
      <c r="B33" s="92"/>
      <c r="C33" s="59" t="s">
        <v>107</v>
      </c>
      <c r="D33" s="92"/>
      <c r="F33" s="23"/>
      <c r="G33" s="23"/>
      <c r="H33" s="23"/>
      <c r="I33" s="23"/>
      <c r="J33" s="23"/>
      <c r="K33" s="23"/>
      <c r="L33" s="23"/>
    </row>
    <row r="34" spans="1:12" s="22" customFormat="1" ht="13.5" x14ac:dyDescent="0.25">
      <c r="A34" s="59" t="s">
        <v>104</v>
      </c>
      <c r="B34" s="92"/>
      <c r="C34" s="59" t="s">
        <v>108</v>
      </c>
      <c r="D34" s="92"/>
      <c r="F34" s="23"/>
      <c r="G34" s="23"/>
      <c r="H34" s="23"/>
      <c r="I34" s="23"/>
      <c r="J34" s="23"/>
      <c r="K34" s="23"/>
      <c r="L34" s="23"/>
    </row>
    <row r="35" spans="1:12" s="22" customFormat="1" ht="13.5" x14ac:dyDescent="0.25">
      <c r="A35" s="59" t="s">
        <v>105</v>
      </c>
      <c r="B35" s="92"/>
      <c r="C35" s="59" t="s">
        <v>109</v>
      </c>
      <c r="D35" s="92"/>
      <c r="F35" s="23"/>
      <c r="G35" s="23"/>
      <c r="H35" s="23"/>
      <c r="I35" s="23"/>
      <c r="J35" s="23"/>
      <c r="K35" s="23"/>
      <c r="L35" s="23"/>
    </row>
    <row r="36" spans="1:12" ht="17.25" customHeight="1" x14ac:dyDescent="0.2">
      <c r="A36" s="128" t="s">
        <v>47</v>
      </c>
      <c r="B36" s="128"/>
      <c r="C36" s="128"/>
      <c r="D36" s="128"/>
    </row>
    <row r="37" spans="1:12" s="22" customFormat="1" ht="13.5" x14ac:dyDescent="0.25">
      <c r="A37" s="63" t="s">
        <v>48</v>
      </c>
      <c r="B37" s="91" t="s">
        <v>18</v>
      </c>
      <c r="C37" s="59" t="s">
        <v>85</v>
      </c>
      <c r="D37" s="65">
        <f ca="1">TODAY()</f>
        <v>45832</v>
      </c>
      <c r="F37" s="23"/>
      <c r="G37" s="23"/>
      <c r="H37" s="23"/>
      <c r="I37" s="23"/>
      <c r="J37" s="23"/>
      <c r="K37" s="23"/>
      <c r="L37" s="23"/>
    </row>
    <row r="38" spans="1:12" s="22" customFormat="1" ht="13.5" x14ac:dyDescent="0.25">
      <c r="A38" s="63" t="s">
        <v>49</v>
      </c>
      <c r="B38" s="91"/>
      <c r="C38" s="59" t="s">
        <v>95</v>
      </c>
      <c r="D38" s="95"/>
      <c r="F38" s="23"/>
      <c r="G38" s="23"/>
      <c r="H38" s="23"/>
      <c r="I38" s="23"/>
      <c r="J38" s="23"/>
      <c r="K38" s="23"/>
      <c r="L38" s="23"/>
    </row>
    <row r="39" spans="1:12" s="22" customFormat="1" ht="13.5" x14ac:dyDescent="0.25">
      <c r="A39" s="63" t="s">
        <v>89</v>
      </c>
      <c r="B39" s="91"/>
      <c r="C39" s="59" t="s">
        <v>19</v>
      </c>
      <c r="D39" s="95"/>
      <c r="F39" s="23"/>
      <c r="G39" s="23"/>
      <c r="H39" s="23"/>
      <c r="I39" s="23"/>
      <c r="J39" s="23"/>
      <c r="K39" s="23"/>
      <c r="L39" s="23"/>
    </row>
    <row r="40" spans="1:12" s="22" customFormat="1" ht="13.5" x14ac:dyDescent="0.25">
      <c r="A40" s="63" t="s">
        <v>90</v>
      </c>
      <c r="B40" s="91"/>
      <c r="C40" s="59" t="s">
        <v>110</v>
      </c>
      <c r="D40" s="95"/>
      <c r="F40" s="23"/>
      <c r="G40" s="23"/>
      <c r="H40" s="23"/>
      <c r="I40" s="23"/>
      <c r="J40" s="23"/>
      <c r="K40" s="23"/>
      <c r="L40" s="23"/>
    </row>
    <row r="41" spans="1:12" s="22" customFormat="1" ht="13.5" x14ac:dyDescent="0.25">
      <c r="A41" s="63" t="s">
        <v>91</v>
      </c>
      <c r="B41" s="91"/>
      <c r="C41" s="59" t="s">
        <v>112</v>
      </c>
      <c r="D41" s="95"/>
      <c r="F41" s="23"/>
      <c r="G41" s="23"/>
      <c r="H41" s="23"/>
      <c r="I41" s="23"/>
      <c r="J41" s="23"/>
      <c r="K41" s="23"/>
      <c r="L41" s="23"/>
    </row>
    <row r="42" spans="1:12" s="22" customFormat="1" ht="13.5" x14ac:dyDescent="0.25">
      <c r="A42" s="63" t="s">
        <v>92</v>
      </c>
      <c r="B42" s="91"/>
      <c r="C42" s="59" t="s">
        <v>113</v>
      </c>
      <c r="D42" s="95"/>
      <c r="F42" s="23"/>
      <c r="G42" s="23"/>
      <c r="H42" s="23"/>
      <c r="I42" s="23"/>
      <c r="J42" s="23"/>
      <c r="K42" s="23"/>
      <c r="L42" s="23"/>
    </row>
    <row r="43" spans="1:12" s="22" customFormat="1" ht="13.5" x14ac:dyDescent="0.25">
      <c r="A43" s="63" t="s">
        <v>93</v>
      </c>
      <c r="B43" s="91"/>
      <c r="C43" s="59" t="s">
        <v>114</v>
      </c>
      <c r="D43" s="95"/>
      <c r="F43" s="23"/>
      <c r="G43" s="97" t="s">
        <v>160</v>
      </c>
      <c r="H43" s="23"/>
      <c r="I43" s="23"/>
      <c r="J43" s="23"/>
      <c r="K43" s="23"/>
      <c r="L43" s="23"/>
    </row>
    <row r="44" spans="1:12" s="22" customFormat="1" ht="13.5" x14ac:dyDescent="0.25">
      <c r="A44" s="59" t="s">
        <v>94</v>
      </c>
      <c r="B44" s="94" t="s">
        <v>18</v>
      </c>
      <c r="C44" s="59"/>
      <c r="D44" s="58"/>
      <c r="F44" s="23"/>
      <c r="G44" s="97" t="s">
        <v>161</v>
      </c>
      <c r="H44" s="23"/>
      <c r="I44" s="23"/>
      <c r="J44" s="23"/>
      <c r="K44" s="23"/>
      <c r="L44" s="23"/>
    </row>
    <row r="45" spans="1:12" ht="17.25" customHeight="1" x14ac:dyDescent="0.2">
      <c r="A45" s="128" t="s">
        <v>153</v>
      </c>
      <c r="B45" s="128"/>
      <c r="C45" s="128"/>
      <c r="D45" s="128"/>
    </row>
    <row r="46" spans="1:12" ht="15" x14ac:dyDescent="0.2">
      <c r="A46" s="129" t="s">
        <v>152</v>
      </c>
      <c r="B46" s="129"/>
      <c r="C46" s="130" t="s">
        <v>121</v>
      </c>
      <c r="D46" s="130"/>
    </row>
    <row r="47" spans="1:12" s="22" customFormat="1" ht="13.5" x14ac:dyDescent="0.25">
      <c r="A47" s="63" t="s">
        <v>118</v>
      </c>
      <c r="B47" s="61"/>
      <c r="C47" s="66" t="s">
        <v>124</v>
      </c>
      <c r="D47" s="92"/>
      <c r="F47" s="23"/>
      <c r="G47" s="23"/>
      <c r="H47" s="23"/>
      <c r="I47" s="23"/>
      <c r="J47" s="23"/>
      <c r="K47" s="23"/>
      <c r="L47" s="23"/>
    </row>
    <row r="48" spans="1:12" s="22" customFormat="1" ht="13.5" x14ac:dyDescent="0.25">
      <c r="A48" s="63" t="s">
        <v>119</v>
      </c>
      <c r="B48" s="96"/>
      <c r="C48" s="59" t="s">
        <v>122</v>
      </c>
      <c r="D48" s="92"/>
      <c r="E48" s="23"/>
      <c r="F48" s="23"/>
      <c r="G48" s="23"/>
      <c r="H48" s="23"/>
      <c r="I48" s="23"/>
      <c r="J48" s="23"/>
      <c r="K48" s="23"/>
    </row>
    <row r="49" spans="1:12" s="22" customFormat="1" ht="13.5" x14ac:dyDescent="0.25">
      <c r="A49" s="63" t="s">
        <v>120</v>
      </c>
      <c r="B49" s="94"/>
      <c r="C49" s="67" t="s">
        <v>123</v>
      </c>
      <c r="D49" s="144"/>
      <c r="F49" s="23"/>
      <c r="G49" s="23"/>
      <c r="H49" s="23"/>
      <c r="I49" s="23"/>
      <c r="J49" s="23"/>
      <c r="K49" s="23"/>
      <c r="L49" s="23"/>
    </row>
    <row r="50" spans="1:12" s="22" customFormat="1" ht="13.5" x14ac:dyDescent="0.25">
      <c r="A50" s="59" t="s">
        <v>111</v>
      </c>
      <c r="B50" s="92"/>
      <c r="C50" s="57"/>
      <c r="D50" s="144"/>
      <c r="E50" s="23"/>
      <c r="F50" s="23"/>
      <c r="G50" s="23"/>
      <c r="H50" s="23"/>
      <c r="I50" s="23"/>
      <c r="J50" s="23"/>
      <c r="K50" s="23"/>
    </row>
    <row r="51" spans="1:12" s="22" customFormat="1" ht="13.5" x14ac:dyDescent="0.25">
      <c r="A51" s="59" t="s">
        <v>116</v>
      </c>
      <c r="B51" s="92"/>
      <c r="C51" s="57"/>
      <c r="D51" s="144"/>
      <c r="E51" s="23"/>
      <c r="F51" s="23"/>
      <c r="G51" s="23"/>
      <c r="H51" s="23"/>
      <c r="I51" s="23"/>
      <c r="J51" s="23"/>
      <c r="K51" s="23"/>
    </row>
    <row r="52" spans="1:12" s="22" customFormat="1" ht="13.5" x14ac:dyDescent="0.25">
      <c r="A52" s="59" t="s">
        <v>117</v>
      </c>
      <c r="B52" s="92"/>
      <c r="C52" s="57"/>
      <c r="D52" s="58"/>
      <c r="E52" s="23"/>
      <c r="F52" s="23"/>
      <c r="G52" s="23"/>
      <c r="H52" s="23"/>
      <c r="I52" s="23"/>
      <c r="J52" s="23"/>
      <c r="K52" s="23"/>
    </row>
    <row r="53" spans="1:12" s="22" customFormat="1" ht="74.25" customHeight="1" x14ac:dyDescent="0.25">
      <c r="A53" s="68" t="s">
        <v>115</v>
      </c>
      <c r="B53" s="143"/>
      <c r="C53" s="143"/>
      <c r="D53" s="143"/>
      <c r="E53" s="23"/>
      <c r="F53" s="23"/>
      <c r="G53" s="23"/>
      <c r="H53" s="23"/>
      <c r="I53" s="23"/>
      <c r="J53" s="23"/>
      <c r="K53" s="23"/>
    </row>
    <row r="54" spans="1:12" ht="17.25" customHeight="1" x14ac:dyDescent="0.2">
      <c r="A54" s="128" t="s">
        <v>155</v>
      </c>
      <c r="B54" s="128"/>
      <c r="C54" s="128"/>
      <c r="D54" s="128"/>
    </row>
    <row r="55" spans="1:12" s="22" customFormat="1" ht="18.75" customHeight="1" x14ac:dyDescent="0.25">
      <c r="A55" s="63" t="s">
        <v>50</v>
      </c>
      <c r="B55" s="52"/>
      <c r="C55" s="53"/>
      <c r="D55" s="53"/>
      <c r="F55" s="23"/>
      <c r="G55" s="23"/>
      <c r="H55" s="23"/>
      <c r="I55" s="23"/>
      <c r="J55" s="23"/>
      <c r="K55" s="23"/>
      <c r="L55" s="23"/>
    </row>
    <row r="56" spans="1:12" s="22" customFormat="1" ht="17.25" customHeight="1" x14ac:dyDescent="0.25">
      <c r="A56" s="63" t="s">
        <v>51</v>
      </c>
      <c r="B56" s="52"/>
      <c r="C56" s="53"/>
      <c r="D56" s="53"/>
      <c r="F56" s="23"/>
      <c r="G56" s="23"/>
      <c r="H56" s="23"/>
      <c r="I56" s="23"/>
      <c r="J56" s="23"/>
      <c r="K56" s="23"/>
      <c r="L56" s="23"/>
    </row>
    <row r="57" spans="1:12" ht="17.25" customHeight="1" x14ac:dyDescent="0.2">
      <c r="A57" s="128" t="s">
        <v>156</v>
      </c>
      <c r="B57" s="128"/>
      <c r="C57" s="128"/>
      <c r="D57" s="128"/>
      <c r="E57" s="7"/>
      <c r="F57" s="8"/>
      <c r="G57" s="9"/>
    </row>
    <row r="58" spans="1:12" s="22" customFormat="1" ht="13.5" x14ac:dyDescent="0.25">
      <c r="A58" s="105" t="s">
        <v>76</v>
      </c>
      <c r="B58" s="106" t="s">
        <v>22</v>
      </c>
      <c r="C58" s="106" t="s">
        <v>78</v>
      </c>
      <c r="D58" s="106" t="s">
        <v>77</v>
      </c>
      <c r="F58" s="24"/>
      <c r="G58" s="24"/>
      <c r="H58" s="23"/>
      <c r="I58" s="23"/>
      <c r="J58" s="23"/>
      <c r="K58" s="23"/>
      <c r="L58" s="23"/>
    </row>
    <row r="59" spans="1:12" s="22" customFormat="1" ht="13.5" x14ac:dyDescent="0.25">
      <c r="A59" s="69"/>
      <c r="B59" s="70"/>
      <c r="C59" s="70"/>
      <c r="D59" s="70"/>
      <c r="F59" s="24"/>
      <c r="G59" s="24"/>
      <c r="H59" s="23"/>
      <c r="I59" s="23"/>
      <c r="J59" s="23"/>
      <c r="K59" s="23"/>
      <c r="L59" s="23"/>
    </row>
    <row r="60" spans="1:12" s="22" customFormat="1" ht="13.5" x14ac:dyDescent="0.25">
      <c r="A60" s="92"/>
      <c r="B60" s="98"/>
      <c r="C60" s="98"/>
      <c r="D60" s="98"/>
      <c r="F60" s="23"/>
      <c r="G60" s="23"/>
      <c r="H60" s="23"/>
      <c r="I60" s="23"/>
      <c r="J60" s="23"/>
      <c r="K60" s="23"/>
      <c r="L60" s="23"/>
    </row>
    <row r="61" spans="1:12" s="22" customFormat="1" ht="13.5" x14ac:dyDescent="0.25">
      <c r="A61" s="92"/>
      <c r="B61" s="98"/>
      <c r="C61" s="98"/>
      <c r="D61" s="98"/>
      <c r="E61" s="22" t="s">
        <v>18</v>
      </c>
      <c r="F61" s="23"/>
      <c r="G61" s="23"/>
      <c r="H61" s="23"/>
      <c r="I61" s="23"/>
      <c r="J61" s="23"/>
      <c r="K61" s="23"/>
      <c r="L61" s="23"/>
    </row>
    <row r="62" spans="1:12" s="22" customFormat="1" ht="13.5" x14ac:dyDescent="0.25">
      <c r="A62" s="92"/>
      <c r="B62" s="98"/>
      <c r="C62" s="98"/>
      <c r="D62" s="98"/>
      <c r="F62" s="23"/>
      <c r="G62" s="23"/>
      <c r="H62" s="23"/>
      <c r="I62" s="23"/>
      <c r="J62" s="23"/>
      <c r="K62" s="23"/>
      <c r="L62" s="23"/>
    </row>
    <row r="63" spans="1:12" s="22" customFormat="1" ht="13.5" x14ac:dyDescent="0.25">
      <c r="A63" s="92" t="s">
        <v>18</v>
      </c>
      <c r="B63" s="98" t="s">
        <v>18</v>
      </c>
      <c r="C63" s="98" t="s">
        <v>18</v>
      </c>
      <c r="D63" s="99" t="s">
        <v>18</v>
      </c>
      <c r="F63" s="23"/>
      <c r="G63" s="23"/>
      <c r="H63" s="23"/>
      <c r="I63" s="23"/>
      <c r="J63" s="23"/>
      <c r="K63" s="23"/>
      <c r="L63" s="23"/>
    </row>
    <row r="64" spans="1:12" s="22" customFormat="1" ht="13.5" x14ac:dyDescent="0.25">
      <c r="A64" s="92"/>
      <c r="B64" s="98"/>
      <c r="C64" s="98" t="s">
        <v>18</v>
      </c>
      <c r="D64" s="99"/>
      <c r="F64" s="23"/>
      <c r="G64" s="23"/>
      <c r="H64" s="23"/>
      <c r="I64" s="23"/>
      <c r="J64" s="23"/>
      <c r="K64" s="23"/>
      <c r="L64" s="23"/>
    </row>
    <row r="65" spans="1:12" s="22" customFormat="1" ht="13.5" x14ac:dyDescent="0.25">
      <c r="A65" s="92"/>
      <c r="B65" s="98"/>
      <c r="C65" s="98"/>
      <c r="D65" s="99" t="s">
        <v>18</v>
      </c>
      <c r="F65" s="23"/>
      <c r="G65" s="23"/>
      <c r="H65" s="23"/>
      <c r="I65" s="23"/>
      <c r="J65" s="23"/>
      <c r="K65" s="23"/>
      <c r="L65" s="23"/>
    </row>
    <row r="66" spans="1:12" s="22" customFormat="1" ht="13.5" x14ac:dyDescent="0.25">
      <c r="A66" s="58" t="s">
        <v>87</v>
      </c>
      <c r="B66" s="140"/>
      <c r="C66" s="140"/>
      <c r="D66" s="140"/>
      <c r="E66" s="23"/>
      <c r="F66" s="23"/>
      <c r="G66" s="23"/>
      <c r="H66" s="23"/>
      <c r="I66" s="23"/>
      <c r="J66" s="23"/>
      <c r="K66" s="23"/>
    </row>
    <row r="67" spans="1:12" ht="17.25" customHeight="1" x14ac:dyDescent="0.2">
      <c r="A67" s="128" t="s">
        <v>86</v>
      </c>
      <c r="B67" s="128"/>
      <c r="C67" s="128"/>
      <c r="D67" s="128"/>
    </row>
    <row r="68" spans="1:12" s="22" customFormat="1" ht="13.5" customHeight="1" x14ac:dyDescent="0.25">
      <c r="A68" s="71" t="s">
        <v>27</v>
      </c>
      <c r="B68" s="138"/>
      <c r="C68" s="139"/>
      <c r="D68" s="58"/>
      <c r="F68" s="23"/>
      <c r="G68" s="23"/>
      <c r="H68" s="23"/>
      <c r="I68" s="23"/>
      <c r="J68" s="23"/>
      <c r="K68" s="23"/>
      <c r="L68" s="23"/>
    </row>
    <row r="69" spans="1:12" s="22" customFormat="1" ht="13.5" customHeight="1" x14ac:dyDescent="0.25">
      <c r="A69" s="59" t="s">
        <v>28</v>
      </c>
      <c r="B69" s="100"/>
      <c r="C69" s="58"/>
      <c r="D69" s="58"/>
      <c r="F69" s="23"/>
      <c r="G69" s="23"/>
      <c r="H69" s="23"/>
      <c r="I69" s="23"/>
      <c r="J69" s="23"/>
      <c r="K69" s="23"/>
      <c r="L69" s="23"/>
    </row>
    <row r="70" spans="1:12" s="22" customFormat="1" ht="13.5" customHeight="1" x14ac:dyDescent="0.25">
      <c r="A70" s="59" t="s">
        <v>29</v>
      </c>
      <c r="B70" s="72">
        <f>addcharges</f>
        <v>2575.36</v>
      </c>
      <c r="C70" s="58"/>
      <c r="D70" s="58"/>
      <c r="F70" s="23"/>
      <c r="G70" s="23"/>
      <c r="H70" s="23"/>
      <c r="I70" s="23"/>
      <c r="J70" s="23"/>
      <c r="K70" s="23"/>
      <c r="L70" s="23"/>
    </row>
    <row r="71" spans="1:12" s="22" customFormat="1" ht="13.5" customHeight="1" x14ac:dyDescent="0.25">
      <c r="A71" s="59" t="s">
        <v>23</v>
      </c>
      <c r="B71" s="100"/>
      <c r="C71" s="58"/>
      <c r="D71" s="58"/>
      <c r="F71" s="23"/>
      <c r="G71" s="23"/>
      <c r="H71" s="23"/>
      <c r="I71" s="23"/>
      <c r="J71" s="23"/>
      <c r="K71" s="23"/>
      <c r="L71" s="23"/>
    </row>
    <row r="72" spans="1:12" s="22" customFormat="1" ht="13.5" customHeight="1" x14ac:dyDescent="0.25">
      <c r="A72" s="59" t="s">
        <v>24</v>
      </c>
      <c r="B72" s="72">
        <f>installcharges</f>
        <v>150</v>
      </c>
      <c r="C72" s="58"/>
      <c r="D72" s="58"/>
      <c r="F72" s="23"/>
      <c r="G72" s="23"/>
      <c r="H72" s="23"/>
      <c r="I72" s="23"/>
      <c r="J72" s="23"/>
      <c r="K72" s="23"/>
      <c r="L72" s="23"/>
    </row>
    <row r="73" spans="1:12" s="22" customFormat="1" ht="13.5" customHeight="1" x14ac:dyDescent="0.25">
      <c r="A73" s="59" t="s">
        <v>33</v>
      </c>
      <c r="B73" s="72">
        <f>connectivityfee</f>
        <v>100</v>
      </c>
      <c r="C73" s="58"/>
      <c r="D73" s="58"/>
      <c r="F73" s="23"/>
      <c r="G73" s="23"/>
      <c r="H73" s="23"/>
      <c r="I73" s="23"/>
      <c r="J73" s="23"/>
      <c r="K73" s="23"/>
      <c r="L73" s="23"/>
    </row>
    <row r="74" spans="1:12" s="22" customFormat="1" ht="13.5" customHeight="1" x14ac:dyDescent="0.25">
      <c r="A74" s="59" t="s">
        <v>25</v>
      </c>
      <c r="B74" s="73"/>
      <c r="C74" s="58"/>
      <c r="D74" s="58"/>
      <c r="F74" s="23"/>
      <c r="G74" s="23"/>
      <c r="H74" s="23"/>
      <c r="I74" s="23"/>
      <c r="J74" s="23"/>
      <c r="K74" s="23"/>
      <c r="L74" s="23"/>
    </row>
    <row r="75" spans="1:12" s="22" customFormat="1" ht="13.5" customHeight="1" x14ac:dyDescent="0.25">
      <c r="A75" s="59" t="s">
        <v>32</v>
      </c>
      <c r="B75" s="73"/>
      <c r="C75" s="58"/>
      <c r="D75" s="58"/>
      <c r="F75" s="23"/>
      <c r="G75" s="23"/>
      <c r="H75" s="23"/>
      <c r="I75" s="23"/>
      <c r="J75" s="23"/>
      <c r="K75" s="23"/>
      <c r="L75" s="23"/>
    </row>
    <row r="76" spans="1:12" s="22" customFormat="1" ht="13.5" customHeight="1" x14ac:dyDescent="0.25">
      <c r="A76" s="59" t="s">
        <v>26</v>
      </c>
      <c r="B76" s="73"/>
      <c r="C76" s="58"/>
      <c r="D76" s="58"/>
      <c r="F76" s="23"/>
      <c r="G76" s="23"/>
      <c r="H76" s="23"/>
      <c r="I76" s="23"/>
      <c r="J76" s="23"/>
      <c r="K76" s="23"/>
      <c r="L76" s="23"/>
    </row>
    <row r="77" spans="1:12" s="22" customFormat="1" ht="13.5" customHeight="1" x14ac:dyDescent="0.25">
      <c r="A77" s="59" t="s">
        <v>79</v>
      </c>
      <c r="B77" s="74"/>
      <c r="C77" s="58"/>
      <c r="D77" s="58"/>
      <c r="F77" s="23"/>
      <c r="G77" s="23"/>
      <c r="H77" s="23"/>
      <c r="I77" s="23"/>
      <c r="J77" s="23"/>
      <c r="K77" s="23"/>
      <c r="L77" s="23"/>
    </row>
    <row r="78" spans="1:12" ht="13.5" customHeight="1" x14ac:dyDescent="0.2">
      <c r="A78" s="58"/>
      <c r="B78" s="75"/>
      <c r="C78" s="58"/>
      <c r="D78" s="58"/>
    </row>
    <row r="79" spans="1:12" ht="25.5" customHeight="1" x14ac:dyDescent="0.2">
      <c r="A79" s="142" t="s">
        <v>179</v>
      </c>
      <c r="B79" s="142"/>
      <c r="C79" s="142"/>
      <c r="D79" s="142"/>
    </row>
    <row r="80" spans="1:12" ht="12.75" customHeight="1" x14ac:dyDescent="0.2">
      <c r="A80" s="43"/>
      <c r="B80" s="43"/>
      <c r="C80" s="43"/>
      <c r="D80" s="43"/>
    </row>
    <row r="81" spans="1:6" x14ac:dyDescent="0.2">
      <c r="A81" s="33"/>
      <c r="B81" s="33"/>
      <c r="C81" s="33"/>
      <c r="D81" s="33"/>
      <c r="F81" s="2"/>
    </row>
    <row r="82" spans="1:6" x14ac:dyDescent="0.2">
      <c r="A82" s="30"/>
      <c r="B82" s="30"/>
      <c r="C82" s="30"/>
      <c r="D82" s="19"/>
      <c r="F82" s="2"/>
    </row>
    <row r="83" spans="1:6" x14ac:dyDescent="0.2">
      <c r="A83" s="30"/>
      <c r="B83" s="30"/>
      <c r="C83" s="30"/>
      <c r="D83" s="19"/>
      <c r="F83" s="2"/>
    </row>
    <row r="84" spans="1:6" x14ac:dyDescent="0.2">
      <c r="B84" s="6"/>
      <c r="C84" s="6"/>
      <c r="F84" s="2"/>
    </row>
    <row r="85" spans="1:6" x14ac:dyDescent="0.2">
      <c r="B85" s="10"/>
      <c r="C85" s="6"/>
    </row>
    <row r="86" spans="1:6" x14ac:dyDescent="0.2">
      <c r="B86" s="6"/>
      <c r="C86" s="6"/>
    </row>
    <row r="113" spans="1:4" x14ac:dyDescent="0.2">
      <c r="A113"/>
      <c r="B113"/>
      <c r="C113"/>
      <c r="D113"/>
    </row>
    <row r="114" spans="1:4" x14ac:dyDescent="0.2">
      <c r="A114"/>
      <c r="B114"/>
      <c r="C114"/>
      <c r="D114"/>
    </row>
    <row r="115" spans="1:4" x14ac:dyDescent="0.2">
      <c r="A115"/>
      <c r="B115"/>
      <c r="C115"/>
      <c r="D115"/>
    </row>
    <row r="116" spans="1:4" x14ac:dyDescent="0.2">
      <c r="A116"/>
      <c r="B116"/>
      <c r="C116"/>
      <c r="D116"/>
    </row>
    <row r="117" spans="1:4" x14ac:dyDescent="0.2">
      <c r="A117"/>
      <c r="B117"/>
      <c r="C117"/>
      <c r="D117"/>
    </row>
    <row r="121" spans="1:4" x14ac:dyDescent="0.2">
      <c r="A121"/>
      <c r="B121"/>
      <c r="C121"/>
      <c r="D121"/>
    </row>
    <row r="122" spans="1:4" x14ac:dyDescent="0.2">
      <c r="A122"/>
      <c r="B122"/>
      <c r="C122"/>
      <c r="D122"/>
    </row>
    <row r="123" spans="1:4" x14ac:dyDescent="0.2">
      <c r="A123"/>
      <c r="B123"/>
      <c r="C123"/>
      <c r="D123"/>
    </row>
  </sheetData>
  <mergeCells count="25">
    <mergeCell ref="B68:C68"/>
    <mergeCell ref="B66:D66"/>
    <mergeCell ref="A1:B5"/>
    <mergeCell ref="A79:D79"/>
    <mergeCell ref="A45:D45"/>
    <mergeCell ref="A46:B46"/>
    <mergeCell ref="B53:D53"/>
    <mergeCell ref="D49:D51"/>
    <mergeCell ref="A8:D8"/>
    <mergeCell ref="A9:D9"/>
    <mergeCell ref="A57:D57"/>
    <mergeCell ref="A67:D67"/>
    <mergeCell ref="E1:P7"/>
    <mergeCell ref="A54:D54"/>
    <mergeCell ref="A19:B19"/>
    <mergeCell ref="C19:D19"/>
    <mergeCell ref="E8:P13"/>
    <mergeCell ref="E14:P19"/>
    <mergeCell ref="E20:E30"/>
    <mergeCell ref="C2:D2"/>
    <mergeCell ref="C3:D3"/>
    <mergeCell ref="C46:D46"/>
    <mergeCell ref="A36:D36"/>
    <mergeCell ref="A11:D11"/>
    <mergeCell ref="A18:D18"/>
  </mergeCells>
  <phoneticPr fontId="2" type="noConversion"/>
  <dataValidations count="1">
    <dataValidation type="list" allowBlank="1" showInputMessage="1" showErrorMessage="1" sqref="B48 B50:B52" xr:uid="{00000000-0002-0000-0100-000000000000}">
      <formula1>$G$43:$G$44</formula1>
    </dataValidation>
  </dataValidations>
  <pageMargins left="0.15" right="0.15" top="0.15" bottom="0.15" header="0" footer="0"/>
  <pageSetup scale="85" orientation="portrait" horizontalDpi="1200" verticalDpi="1200" r:id="rId1"/>
  <headerFooter alignWithMargins="0"/>
  <rowBreaks count="1" manualBreakCount="1">
    <brk id="53" max="16383" man="1"/>
  </rowBreaks>
  <colBreaks count="1" manualBreakCount="1">
    <brk id="4" max="1048575" man="1"/>
  </colBreaks>
  <drawing r:id="rId2"/>
  <legacyDrawing r:id="rId3"/>
  <controls>
    <mc:AlternateContent xmlns:mc="http://schemas.openxmlformats.org/markup-compatibility/2006">
      <mc:Choice Requires="x14">
        <control shapeId="9670" r:id="rId4" name="OptionButton1">
          <controlPr autoLine="0" r:id="rId5">
            <anchor moveWithCells="1" sizeWithCells="1">
              <from>
                <xdr:col>1</xdr:col>
                <xdr:colOff>47625</xdr:colOff>
                <xdr:row>55</xdr:row>
                <xdr:rowOff>28575</xdr:rowOff>
              </from>
              <to>
                <xdr:col>1</xdr:col>
                <xdr:colOff>1419225</xdr:colOff>
                <xdr:row>55</xdr:row>
                <xdr:rowOff>180975</xdr:rowOff>
              </to>
            </anchor>
          </controlPr>
        </control>
      </mc:Choice>
      <mc:Fallback>
        <control shapeId="9670" r:id="rId4" name="OptionButton1"/>
      </mc:Fallback>
    </mc:AlternateContent>
    <mc:AlternateContent xmlns:mc="http://schemas.openxmlformats.org/markup-compatibility/2006">
      <mc:Choice Requires="x14">
        <control shapeId="9671" r:id="rId6" name="OptionButton2">
          <controlPr autoLine="0" r:id="rId7">
            <anchor moveWithCells="1" sizeWithCells="1">
              <from>
                <xdr:col>1</xdr:col>
                <xdr:colOff>47625</xdr:colOff>
                <xdr:row>54</xdr:row>
                <xdr:rowOff>28575</xdr:rowOff>
              </from>
              <to>
                <xdr:col>1</xdr:col>
                <xdr:colOff>1419225</xdr:colOff>
                <xdr:row>54</xdr:row>
                <xdr:rowOff>180975</xdr:rowOff>
              </to>
            </anchor>
          </controlPr>
        </control>
      </mc:Choice>
      <mc:Fallback>
        <control shapeId="9671" r:id="rId6" name="OptionButton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8"/>
  </sheetPr>
  <dimension ref="A1:AG68"/>
  <sheetViews>
    <sheetView zoomScaleNormal="100" workbookViewId="0">
      <selection activeCell="D16" sqref="D16"/>
    </sheetView>
  </sheetViews>
  <sheetFormatPr defaultRowHeight="12.75" x14ac:dyDescent="0.2"/>
  <cols>
    <col min="1" max="1" width="5.28515625" style="7" customWidth="1"/>
    <col min="2" max="2" width="23.5703125" style="3" customWidth="1"/>
    <col min="3" max="4" width="37" style="2" customWidth="1"/>
    <col min="5" max="5" width="19.85546875" style="3" customWidth="1"/>
    <col min="6" max="6" width="17" style="3" customWidth="1"/>
    <col min="7" max="7" width="16.28515625" style="3" customWidth="1"/>
    <col min="8" max="8" width="8.42578125" style="2" bestFit="1" customWidth="1"/>
    <col min="9" max="9" width="9.5703125" style="2" customWidth="1"/>
    <col min="10" max="10" width="11.140625" style="2" customWidth="1"/>
    <col min="11" max="11" width="11.5703125" style="2" customWidth="1"/>
    <col min="12" max="23" width="9.140625" style="2"/>
    <col min="24" max="24" width="5.28515625" style="2" customWidth="1"/>
    <col min="25" max="25" width="23.5703125" style="2" customWidth="1"/>
    <col min="26" max="26" width="37" style="2" customWidth="1"/>
    <col min="27" max="27" width="19.85546875" style="2" customWidth="1"/>
    <col min="28" max="28" width="17" style="2" customWidth="1"/>
    <col min="29" max="29" width="16.28515625" style="2" customWidth="1"/>
    <col min="30" max="30" width="8.42578125" style="2" bestFit="1" customWidth="1"/>
    <col min="31" max="31" width="9.5703125" style="2" customWidth="1"/>
    <col min="32" max="32" width="11.140625" style="2" customWidth="1"/>
    <col min="33" max="33" width="11.5703125" style="2" customWidth="1"/>
    <col min="34" max="16384" width="9.140625" style="2"/>
  </cols>
  <sheetData>
    <row r="1" spans="1:33" ht="12.75" customHeight="1" x14ac:dyDescent="0.2">
      <c r="A1" s="157"/>
      <c r="B1" s="157"/>
      <c r="C1" s="157"/>
      <c r="D1" s="104"/>
      <c r="E1"/>
      <c r="F1"/>
      <c r="G1"/>
      <c r="H1"/>
      <c r="I1"/>
      <c r="J1"/>
      <c r="K1"/>
      <c r="L1" s="158" t="s">
        <v>171</v>
      </c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60"/>
    </row>
    <row r="2" spans="1:33" ht="12.75" customHeight="1" x14ac:dyDescent="0.45">
      <c r="A2" s="157"/>
      <c r="B2" s="157"/>
      <c r="C2" s="157"/>
      <c r="D2" s="104"/>
      <c r="E2" s="17"/>
      <c r="F2" s="17"/>
      <c r="G2" s="17"/>
      <c r="H2" s="7"/>
      <c r="I2" s="8"/>
      <c r="J2" s="9"/>
      <c r="K2" s="26"/>
      <c r="L2" s="161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3"/>
    </row>
    <row r="3" spans="1:33" ht="12.75" customHeight="1" x14ac:dyDescent="0.45">
      <c r="A3" s="157"/>
      <c r="B3" s="157"/>
      <c r="C3" s="157"/>
      <c r="D3" s="104"/>
      <c r="E3" s="17"/>
      <c r="F3" s="17"/>
      <c r="G3" s="17"/>
      <c r="H3" s="7"/>
      <c r="I3" s="8"/>
      <c r="J3" s="9"/>
      <c r="K3" s="26"/>
      <c r="L3" s="161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3"/>
    </row>
    <row r="4" spans="1:33" ht="12.75" customHeight="1" x14ac:dyDescent="0.45">
      <c r="A4" s="157"/>
      <c r="B4" s="157"/>
      <c r="C4" s="157"/>
      <c r="D4" s="104"/>
      <c r="E4" s="17"/>
      <c r="F4" s="17"/>
      <c r="G4" s="17"/>
      <c r="H4" s="7"/>
      <c r="I4" s="8"/>
      <c r="J4" s="9"/>
      <c r="K4" s="26"/>
      <c r="L4" s="161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3"/>
    </row>
    <row r="5" spans="1:33" ht="12.75" customHeight="1" x14ac:dyDescent="0.45">
      <c r="A5" s="157"/>
      <c r="B5" s="157"/>
      <c r="C5" s="157"/>
      <c r="D5" s="104"/>
      <c r="E5" s="17"/>
      <c r="F5" s="17"/>
      <c r="G5" s="17"/>
      <c r="H5" s="7"/>
      <c r="I5" s="8"/>
      <c r="J5" s="9"/>
      <c r="K5" s="26"/>
      <c r="L5" s="161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3"/>
    </row>
    <row r="6" spans="1:33" ht="12.75" customHeight="1" x14ac:dyDescent="0.45">
      <c r="A6" s="157"/>
      <c r="B6" s="157"/>
      <c r="C6" s="157"/>
      <c r="D6" s="104"/>
      <c r="E6" s="17"/>
      <c r="F6" s="17"/>
      <c r="G6" s="17"/>
      <c r="H6" s="7"/>
      <c r="I6" s="8"/>
      <c r="J6" s="9"/>
      <c r="K6" s="26"/>
      <c r="L6" s="161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3"/>
    </row>
    <row r="7" spans="1:33" ht="12.75" customHeight="1" x14ac:dyDescent="0.45">
      <c r="A7" s="157"/>
      <c r="B7" s="157"/>
      <c r="C7" s="157"/>
      <c r="D7" s="104"/>
      <c r="E7" s="17"/>
      <c r="F7" s="17"/>
      <c r="G7" s="17"/>
      <c r="H7" s="7"/>
      <c r="I7" s="8"/>
      <c r="J7" s="9"/>
      <c r="K7" s="26"/>
      <c r="L7" s="161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3"/>
    </row>
    <row r="8" spans="1:33" ht="12.75" customHeight="1" x14ac:dyDescent="0.45">
      <c r="B8" s="11"/>
      <c r="C8" s="12"/>
      <c r="D8" s="12"/>
      <c r="E8" s="17"/>
      <c r="F8" s="17"/>
      <c r="G8" s="17"/>
      <c r="H8" s="7"/>
      <c r="I8" s="8"/>
      <c r="J8" s="9"/>
      <c r="K8" s="26"/>
      <c r="L8" s="161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3"/>
    </row>
    <row r="9" spans="1:33" ht="41.25" customHeight="1" x14ac:dyDescent="0.2">
      <c r="A9" s="145" t="s">
        <v>3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64" t="s">
        <v>172</v>
      </c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6"/>
      <c r="X9" s="145" t="s">
        <v>191</v>
      </c>
      <c r="Y9" s="145"/>
      <c r="Z9" s="145"/>
      <c r="AA9" s="145"/>
      <c r="AB9" s="145"/>
      <c r="AC9" s="145"/>
      <c r="AD9" s="145"/>
      <c r="AE9" s="145"/>
      <c r="AF9" s="145"/>
      <c r="AG9" s="145"/>
    </row>
    <row r="10" spans="1:33" ht="12.75" customHeight="1" x14ac:dyDescent="0.2">
      <c r="A10" s="150" t="s">
        <v>154</v>
      </c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64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6"/>
      <c r="X10" s="150" t="s">
        <v>154</v>
      </c>
      <c r="Y10" s="150"/>
      <c r="Z10" s="150"/>
      <c r="AA10" s="150"/>
      <c r="AB10" s="150"/>
      <c r="AC10" s="150"/>
      <c r="AD10" s="150"/>
      <c r="AE10" s="150"/>
      <c r="AF10" s="150"/>
      <c r="AG10" s="150"/>
    </row>
    <row r="11" spans="1:33" ht="18.75" customHeight="1" x14ac:dyDescent="0.5">
      <c r="A11" s="21"/>
      <c r="B11" s="11"/>
      <c r="C11" s="12"/>
      <c r="D11" s="12"/>
      <c r="E11" s="17"/>
      <c r="F11" s="17"/>
      <c r="G11" s="17"/>
      <c r="H11" s="7"/>
      <c r="I11" s="8"/>
      <c r="J11" s="9"/>
      <c r="K11" s="1"/>
      <c r="L11" s="164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6"/>
      <c r="X11" s="21"/>
      <c r="Y11" s="11"/>
      <c r="Z11" s="12"/>
      <c r="AA11" s="17"/>
      <c r="AB11" s="17"/>
      <c r="AC11" s="17"/>
      <c r="AD11" s="7"/>
      <c r="AE11" s="8"/>
      <c r="AF11" s="9"/>
      <c r="AG11" s="1"/>
    </row>
    <row r="12" spans="1:33" ht="18.75" customHeight="1" x14ac:dyDescent="0.5">
      <c r="B12" s="11"/>
      <c r="C12" s="12"/>
      <c r="D12" s="12"/>
      <c r="E12" s="17"/>
      <c r="F12" s="17"/>
      <c r="G12" s="17"/>
      <c r="H12" s="7"/>
      <c r="I12" s="8"/>
      <c r="J12" s="9"/>
      <c r="K12" s="1"/>
      <c r="L12" s="164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6"/>
      <c r="X12" s="7"/>
      <c r="Y12" s="11"/>
      <c r="Z12" s="12"/>
      <c r="AA12" s="17"/>
      <c r="AB12" s="17"/>
      <c r="AC12" s="17"/>
      <c r="AD12" s="7"/>
      <c r="AE12" s="8"/>
      <c r="AF12" s="9"/>
      <c r="AG12" s="1"/>
    </row>
    <row r="13" spans="1:33" s="20" customFormat="1" ht="23.25" customHeight="1" x14ac:dyDescent="0.65">
      <c r="A13" s="149" t="s">
        <v>52</v>
      </c>
      <c r="B13" s="149" t="s">
        <v>4</v>
      </c>
      <c r="C13" s="149" t="s">
        <v>7</v>
      </c>
      <c r="D13" s="107"/>
      <c r="E13" s="149" t="s">
        <v>6</v>
      </c>
      <c r="F13" s="149" t="s">
        <v>80</v>
      </c>
      <c r="G13" s="149" t="s">
        <v>75</v>
      </c>
      <c r="H13" s="148" t="s">
        <v>53</v>
      </c>
      <c r="I13" s="148" t="s">
        <v>20</v>
      </c>
      <c r="J13" s="148" t="s">
        <v>54</v>
      </c>
      <c r="K13" s="148" t="s">
        <v>55</v>
      </c>
      <c r="L13" s="164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6"/>
      <c r="X13" s="149" t="s">
        <v>52</v>
      </c>
      <c r="Y13" s="149" t="s">
        <v>4</v>
      </c>
      <c r="Z13" s="149" t="s">
        <v>7</v>
      </c>
      <c r="AA13" s="149" t="s">
        <v>6</v>
      </c>
      <c r="AB13" s="149" t="s">
        <v>80</v>
      </c>
      <c r="AC13" s="149" t="s">
        <v>75</v>
      </c>
      <c r="AD13" s="148" t="s">
        <v>53</v>
      </c>
      <c r="AE13" s="148" t="s">
        <v>20</v>
      </c>
      <c r="AF13" s="148" t="s">
        <v>54</v>
      </c>
      <c r="AG13" s="148" t="s">
        <v>55</v>
      </c>
    </row>
    <row r="14" spans="1:33" s="20" customFormat="1" ht="23.25" customHeight="1" x14ac:dyDescent="0.65">
      <c r="A14" s="149"/>
      <c r="B14" s="149"/>
      <c r="C14" s="149"/>
      <c r="D14" s="107" t="s">
        <v>192</v>
      </c>
      <c r="E14" s="149"/>
      <c r="F14" s="149"/>
      <c r="G14" s="149"/>
      <c r="H14" s="148"/>
      <c r="I14" s="148"/>
      <c r="J14" s="149"/>
      <c r="K14" s="149"/>
      <c r="L14" s="164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6"/>
      <c r="X14" s="149"/>
      <c r="Y14" s="149"/>
      <c r="Z14" s="149"/>
      <c r="AA14" s="149"/>
      <c r="AB14" s="149"/>
      <c r="AC14" s="149"/>
      <c r="AD14" s="148"/>
      <c r="AE14" s="148"/>
      <c r="AF14" s="149"/>
      <c r="AG14" s="149"/>
    </row>
    <row r="15" spans="1:33" s="20" customFormat="1" ht="23.25" customHeight="1" x14ac:dyDescent="0.65">
      <c r="A15" s="149"/>
      <c r="B15" s="149"/>
      <c r="C15" s="149"/>
      <c r="D15" s="107"/>
      <c r="E15" s="149"/>
      <c r="F15" s="149"/>
      <c r="G15" s="149"/>
      <c r="H15" s="148"/>
      <c r="I15" s="148"/>
      <c r="J15" s="149"/>
      <c r="K15" s="149"/>
      <c r="L15" s="164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6"/>
      <c r="X15" s="149"/>
      <c r="Y15" s="149"/>
      <c r="Z15" s="149"/>
      <c r="AA15" s="149"/>
      <c r="AB15" s="149"/>
      <c r="AC15" s="149"/>
      <c r="AD15" s="148"/>
      <c r="AE15" s="148"/>
      <c r="AF15" s="149"/>
      <c r="AG15" s="149"/>
    </row>
    <row r="16" spans="1:33" s="22" customFormat="1" ht="13.5" customHeight="1" x14ac:dyDescent="0.25">
      <c r="A16" s="56">
        <v>1</v>
      </c>
      <c r="B16" s="57" t="s">
        <v>204</v>
      </c>
      <c r="C16" s="57" t="s">
        <v>203</v>
      </c>
      <c r="D16" s="57"/>
      <c r="E16" s="80" t="s">
        <v>205</v>
      </c>
      <c r="F16" s="80"/>
      <c r="G16" s="80"/>
      <c r="H16" s="85">
        <v>15000</v>
      </c>
      <c r="I16" s="85">
        <f t="shared" ref="I16:I47" si="0">A16*H16</f>
        <v>15000</v>
      </c>
      <c r="J16" s="85">
        <v>5250</v>
      </c>
      <c r="K16" s="85">
        <f t="shared" ref="K16:K47" si="1">A16*J16</f>
        <v>5250</v>
      </c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6"/>
      <c r="X16" s="56">
        <v>1</v>
      </c>
      <c r="Y16" s="57" t="s">
        <v>204</v>
      </c>
      <c r="Z16" s="57" t="s">
        <v>203</v>
      </c>
      <c r="AA16" s="80" t="s">
        <v>205</v>
      </c>
      <c r="AB16" s="80"/>
      <c r="AC16" s="80"/>
      <c r="AD16" s="85">
        <v>15000</v>
      </c>
      <c r="AE16" s="85">
        <f t="shared" ref="AE16:AE67" si="2">X16*AD16</f>
        <v>15000</v>
      </c>
      <c r="AF16" s="85">
        <v>5250</v>
      </c>
      <c r="AG16" s="85">
        <f t="shared" ref="AG16:AG67" si="3">X16*AF16</f>
        <v>5250</v>
      </c>
    </row>
    <row r="17" spans="1:33" s="22" customFormat="1" ht="13.5" customHeight="1" x14ac:dyDescent="0.25">
      <c r="A17" s="75">
        <v>1</v>
      </c>
      <c r="B17" s="58"/>
      <c r="C17" s="58" t="s">
        <v>206</v>
      </c>
      <c r="D17" s="58" t="s">
        <v>208</v>
      </c>
      <c r="E17" s="82" t="s">
        <v>207</v>
      </c>
      <c r="F17" s="82"/>
      <c r="G17" s="82"/>
      <c r="H17" s="86">
        <v>107</v>
      </c>
      <c r="I17" s="86">
        <f t="shared" si="0"/>
        <v>107</v>
      </c>
      <c r="J17" s="86">
        <v>63.97</v>
      </c>
      <c r="K17" s="86">
        <f t="shared" si="1"/>
        <v>63.97</v>
      </c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6"/>
      <c r="X17" s="75"/>
      <c r="Y17" s="58"/>
      <c r="Z17" s="58"/>
      <c r="AA17" s="82"/>
      <c r="AB17" s="82"/>
      <c r="AC17" s="82"/>
      <c r="AD17" s="86"/>
      <c r="AE17" s="86">
        <f t="shared" si="2"/>
        <v>0</v>
      </c>
      <c r="AF17" s="86"/>
      <c r="AG17" s="86">
        <f t="shared" si="3"/>
        <v>0</v>
      </c>
    </row>
    <row r="18" spans="1:33" s="22" customFormat="1" ht="13.5" customHeight="1" x14ac:dyDescent="0.25">
      <c r="A18" s="56">
        <v>1</v>
      </c>
      <c r="B18" s="57"/>
      <c r="C18" s="57" t="s">
        <v>209</v>
      </c>
      <c r="D18" s="57" t="s">
        <v>211</v>
      </c>
      <c r="E18" s="80" t="s">
        <v>210</v>
      </c>
      <c r="F18" s="80"/>
      <c r="G18" s="80"/>
      <c r="H18" s="85">
        <v>1900</v>
      </c>
      <c r="I18" s="85">
        <f t="shared" si="0"/>
        <v>1900</v>
      </c>
      <c r="J18" s="85">
        <v>840</v>
      </c>
      <c r="K18" s="85">
        <f t="shared" si="1"/>
        <v>840</v>
      </c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6"/>
      <c r="X18" s="56"/>
      <c r="Y18" s="57"/>
      <c r="Z18" s="57"/>
      <c r="AA18" s="80"/>
      <c r="AB18" s="80"/>
      <c r="AC18" s="80"/>
      <c r="AD18" s="85"/>
      <c r="AE18" s="85">
        <f t="shared" si="2"/>
        <v>0</v>
      </c>
      <c r="AF18" s="85"/>
      <c r="AG18" s="85">
        <f t="shared" si="3"/>
        <v>0</v>
      </c>
    </row>
    <row r="19" spans="1:33" s="22" customFormat="1" ht="13.5" customHeight="1" thickBot="1" x14ac:dyDescent="0.3">
      <c r="A19" s="75"/>
      <c r="B19" s="58"/>
      <c r="C19" s="58"/>
      <c r="D19" s="58"/>
      <c r="E19" s="82"/>
      <c r="F19" s="82"/>
      <c r="G19" s="82"/>
      <c r="H19" s="86"/>
      <c r="I19" s="86">
        <f t="shared" si="0"/>
        <v>0</v>
      </c>
      <c r="J19" s="86"/>
      <c r="K19" s="86">
        <f t="shared" si="1"/>
        <v>0</v>
      </c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75"/>
      <c r="Y19" s="58"/>
      <c r="Z19" s="58"/>
      <c r="AA19" s="82"/>
      <c r="AB19" s="82"/>
      <c r="AC19" s="82"/>
      <c r="AD19" s="86"/>
      <c r="AE19" s="86">
        <f t="shared" si="2"/>
        <v>0</v>
      </c>
      <c r="AF19" s="86"/>
      <c r="AG19" s="86">
        <f t="shared" si="3"/>
        <v>0</v>
      </c>
    </row>
    <row r="20" spans="1:33" s="22" customFormat="1" ht="13.5" x14ac:dyDescent="0.25">
      <c r="A20" s="56"/>
      <c r="B20" s="57"/>
      <c r="C20" s="57"/>
      <c r="D20" s="57"/>
      <c r="E20" s="80"/>
      <c r="F20" s="80"/>
      <c r="G20" s="80"/>
      <c r="H20" s="85"/>
      <c r="I20" s="85">
        <f t="shared" si="0"/>
        <v>0</v>
      </c>
      <c r="J20" s="85"/>
      <c r="K20" s="85">
        <f t="shared" si="1"/>
        <v>0</v>
      </c>
      <c r="L20" s="151" t="s">
        <v>173</v>
      </c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3"/>
      <c r="X20" s="56"/>
      <c r="Y20" s="57"/>
      <c r="Z20" s="57"/>
      <c r="AA20" s="80"/>
      <c r="AB20" s="80"/>
      <c r="AC20" s="80"/>
      <c r="AD20" s="85"/>
      <c r="AE20" s="85">
        <f t="shared" si="2"/>
        <v>0</v>
      </c>
      <c r="AF20" s="85"/>
      <c r="AG20" s="85">
        <f t="shared" si="3"/>
        <v>0</v>
      </c>
    </row>
    <row r="21" spans="1:33" s="22" customFormat="1" ht="13.5" x14ac:dyDescent="0.25">
      <c r="A21" s="75"/>
      <c r="B21" s="58"/>
      <c r="C21" s="58"/>
      <c r="D21" s="58"/>
      <c r="E21" s="82"/>
      <c r="F21" s="82"/>
      <c r="G21" s="82"/>
      <c r="H21" s="86"/>
      <c r="I21" s="86">
        <f t="shared" si="0"/>
        <v>0</v>
      </c>
      <c r="J21" s="86"/>
      <c r="K21" s="86">
        <f t="shared" si="1"/>
        <v>0</v>
      </c>
      <c r="L21" s="151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3"/>
      <c r="X21" s="75"/>
      <c r="Y21" s="58"/>
      <c r="Z21" s="58"/>
      <c r="AA21" s="82"/>
      <c r="AB21" s="82"/>
      <c r="AC21" s="82"/>
      <c r="AD21" s="86"/>
      <c r="AE21" s="86">
        <f t="shared" si="2"/>
        <v>0</v>
      </c>
      <c r="AF21" s="86"/>
      <c r="AG21" s="86">
        <f t="shared" si="3"/>
        <v>0</v>
      </c>
    </row>
    <row r="22" spans="1:33" s="22" customFormat="1" ht="13.5" x14ac:dyDescent="0.25">
      <c r="A22" s="56"/>
      <c r="B22" s="57"/>
      <c r="C22" s="57"/>
      <c r="D22" s="57"/>
      <c r="E22" s="80"/>
      <c r="F22" s="80"/>
      <c r="G22" s="80"/>
      <c r="H22" s="85"/>
      <c r="I22" s="85">
        <f t="shared" si="0"/>
        <v>0</v>
      </c>
      <c r="J22" s="85"/>
      <c r="K22" s="85">
        <f t="shared" si="1"/>
        <v>0</v>
      </c>
      <c r="L22" s="151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3"/>
      <c r="X22" s="56"/>
      <c r="Y22" s="57"/>
      <c r="Z22" s="57"/>
      <c r="AA22" s="80"/>
      <c r="AB22" s="80"/>
      <c r="AC22" s="80"/>
      <c r="AD22" s="85"/>
      <c r="AE22" s="85">
        <f t="shared" si="2"/>
        <v>0</v>
      </c>
      <c r="AF22" s="85"/>
      <c r="AG22" s="85">
        <f t="shared" si="3"/>
        <v>0</v>
      </c>
    </row>
    <row r="23" spans="1:33" s="22" customFormat="1" ht="13.5" x14ac:dyDescent="0.25">
      <c r="A23" s="75"/>
      <c r="B23" s="58"/>
      <c r="C23" s="58"/>
      <c r="D23" s="58"/>
      <c r="E23" s="82"/>
      <c r="F23" s="82"/>
      <c r="G23" s="82"/>
      <c r="H23" s="86"/>
      <c r="I23" s="86">
        <f t="shared" si="0"/>
        <v>0</v>
      </c>
      <c r="J23" s="86"/>
      <c r="K23" s="86">
        <f t="shared" si="1"/>
        <v>0</v>
      </c>
      <c r="L23" s="151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3"/>
      <c r="X23" s="75"/>
      <c r="Y23" s="58"/>
      <c r="Z23" s="58"/>
      <c r="AA23" s="82"/>
      <c r="AB23" s="82"/>
      <c r="AC23" s="82"/>
      <c r="AD23" s="86"/>
      <c r="AE23" s="86">
        <f t="shared" si="2"/>
        <v>0</v>
      </c>
      <c r="AF23" s="86"/>
      <c r="AG23" s="86">
        <f t="shared" si="3"/>
        <v>0</v>
      </c>
    </row>
    <row r="24" spans="1:33" s="22" customFormat="1" ht="13.5" x14ac:dyDescent="0.25">
      <c r="A24" s="56"/>
      <c r="B24" s="57"/>
      <c r="C24" s="57"/>
      <c r="D24" s="57"/>
      <c r="E24" s="80"/>
      <c r="F24" s="80"/>
      <c r="G24" s="80"/>
      <c r="H24" s="85"/>
      <c r="I24" s="85">
        <f t="shared" si="0"/>
        <v>0</v>
      </c>
      <c r="J24" s="85"/>
      <c r="K24" s="85">
        <f t="shared" si="1"/>
        <v>0</v>
      </c>
      <c r="L24" s="151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3"/>
      <c r="X24" s="56"/>
      <c r="Y24" s="57"/>
      <c r="Z24" s="57"/>
      <c r="AA24" s="80"/>
      <c r="AB24" s="80"/>
      <c r="AC24" s="80"/>
      <c r="AD24" s="85"/>
      <c r="AE24" s="85">
        <f t="shared" si="2"/>
        <v>0</v>
      </c>
      <c r="AF24" s="85"/>
      <c r="AG24" s="85">
        <f t="shared" si="3"/>
        <v>0</v>
      </c>
    </row>
    <row r="25" spans="1:33" s="22" customFormat="1" ht="13.5" x14ac:dyDescent="0.25">
      <c r="A25" s="75"/>
      <c r="B25" s="58"/>
      <c r="C25" s="58"/>
      <c r="D25" s="58"/>
      <c r="E25" s="82"/>
      <c r="F25" s="82"/>
      <c r="G25" s="82"/>
      <c r="H25" s="86"/>
      <c r="I25" s="86">
        <f t="shared" si="0"/>
        <v>0</v>
      </c>
      <c r="J25" s="86"/>
      <c r="K25" s="86">
        <f t="shared" si="1"/>
        <v>0</v>
      </c>
      <c r="L25" s="151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3"/>
      <c r="X25" s="75"/>
      <c r="Y25" s="58"/>
      <c r="Z25" s="58"/>
      <c r="AA25" s="82"/>
      <c r="AB25" s="82"/>
      <c r="AC25" s="82"/>
      <c r="AD25" s="86"/>
      <c r="AE25" s="86">
        <f t="shared" si="2"/>
        <v>0</v>
      </c>
      <c r="AF25" s="86"/>
      <c r="AG25" s="86">
        <f t="shared" si="3"/>
        <v>0</v>
      </c>
    </row>
    <row r="26" spans="1:33" s="22" customFormat="1" ht="14.25" thickBot="1" x14ac:dyDescent="0.3">
      <c r="A26" s="56"/>
      <c r="B26" s="57"/>
      <c r="C26" s="57"/>
      <c r="D26" s="57"/>
      <c r="E26" s="80"/>
      <c r="F26" s="80"/>
      <c r="G26" s="80"/>
      <c r="H26" s="85"/>
      <c r="I26" s="85">
        <f t="shared" si="0"/>
        <v>0</v>
      </c>
      <c r="J26" s="85"/>
      <c r="K26" s="85">
        <f t="shared" si="1"/>
        <v>0</v>
      </c>
      <c r="L26" s="154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6"/>
      <c r="X26" s="56"/>
      <c r="Y26" s="57"/>
      <c r="Z26" s="57"/>
      <c r="AA26" s="80"/>
      <c r="AB26" s="80"/>
      <c r="AC26" s="80"/>
      <c r="AD26" s="85"/>
      <c r="AE26" s="85">
        <f t="shared" si="2"/>
        <v>0</v>
      </c>
      <c r="AF26" s="85"/>
      <c r="AG26" s="85">
        <f t="shared" si="3"/>
        <v>0</v>
      </c>
    </row>
    <row r="27" spans="1:33" s="22" customFormat="1" ht="13.5" x14ac:dyDescent="0.25">
      <c r="A27" s="75"/>
      <c r="B27" s="58"/>
      <c r="C27" s="58"/>
      <c r="D27" s="58"/>
      <c r="E27" s="82"/>
      <c r="F27" s="82"/>
      <c r="G27" s="82"/>
      <c r="H27" s="86"/>
      <c r="I27" s="86">
        <f t="shared" si="0"/>
        <v>0</v>
      </c>
      <c r="J27" s="86"/>
      <c r="K27" s="86">
        <f t="shared" si="1"/>
        <v>0</v>
      </c>
      <c r="X27" s="75"/>
      <c r="Y27" s="58"/>
      <c r="Z27" s="58"/>
      <c r="AA27" s="82"/>
      <c r="AB27" s="82"/>
      <c r="AC27" s="82"/>
      <c r="AD27" s="86"/>
      <c r="AE27" s="86">
        <f t="shared" si="2"/>
        <v>0</v>
      </c>
      <c r="AF27" s="86"/>
      <c r="AG27" s="86">
        <f t="shared" si="3"/>
        <v>0</v>
      </c>
    </row>
    <row r="28" spans="1:33" s="22" customFormat="1" ht="13.5" x14ac:dyDescent="0.25">
      <c r="A28" s="56"/>
      <c r="B28" s="57"/>
      <c r="C28" s="57"/>
      <c r="D28" s="57"/>
      <c r="E28" s="80"/>
      <c r="F28" s="80"/>
      <c r="G28" s="80"/>
      <c r="H28" s="85"/>
      <c r="I28" s="85">
        <f t="shared" si="0"/>
        <v>0</v>
      </c>
      <c r="J28" s="85"/>
      <c r="K28" s="85">
        <f t="shared" si="1"/>
        <v>0</v>
      </c>
      <c r="X28" s="56"/>
      <c r="Y28" s="57"/>
      <c r="Z28" s="57"/>
      <c r="AA28" s="80"/>
      <c r="AB28" s="80"/>
      <c r="AC28" s="80"/>
      <c r="AD28" s="85"/>
      <c r="AE28" s="85">
        <f t="shared" si="2"/>
        <v>0</v>
      </c>
      <c r="AF28" s="85"/>
      <c r="AG28" s="85">
        <f t="shared" si="3"/>
        <v>0</v>
      </c>
    </row>
    <row r="29" spans="1:33" s="22" customFormat="1" ht="13.5" x14ac:dyDescent="0.25">
      <c r="A29" s="75"/>
      <c r="B29" s="58"/>
      <c r="C29" s="58"/>
      <c r="D29" s="58"/>
      <c r="E29" s="82"/>
      <c r="F29" s="82"/>
      <c r="G29" s="82"/>
      <c r="H29" s="86"/>
      <c r="I29" s="86">
        <f t="shared" si="0"/>
        <v>0</v>
      </c>
      <c r="J29" s="86"/>
      <c r="K29" s="86">
        <f t="shared" si="1"/>
        <v>0</v>
      </c>
      <c r="X29" s="75"/>
      <c r="Y29" s="58"/>
      <c r="Z29" s="58"/>
      <c r="AA29" s="82"/>
      <c r="AB29" s="82"/>
      <c r="AC29" s="82"/>
      <c r="AD29" s="86"/>
      <c r="AE29" s="86">
        <f t="shared" si="2"/>
        <v>0</v>
      </c>
      <c r="AF29" s="86"/>
      <c r="AG29" s="86">
        <f t="shared" si="3"/>
        <v>0</v>
      </c>
    </row>
    <row r="30" spans="1:33" s="22" customFormat="1" ht="13.5" x14ac:dyDescent="0.25">
      <c r="A30" s="56"/>
      <c r="B30" s="57"/>
      <c r="C30" s="57"/>
      <c r="D30" s="57"/>
      <c r="E30" s="80"/>
      <c r="F30" s="80"/>
      <c r="G30" s="80"/>
      <c r="H30" s="85"/>
      <c r="I30" s="85">
        <f t="shared" si="0"/>
        <v>0</v>
      </c>
      <c r="J30" s="85"/>
      <c r="K30" s="85">
        <f t="shared" si="1"/>
        <v>0</v>
      </c>
      <c r="X30" s="56"/>
      <c r="Y30" s="57"/>
      <c r="Z30" s="57"/>
      <c r="AA30" s="80"/>
      <c r="AB30" s="80"/>
      <c r="AC30" s="80"/>
      <c r="AD30" s="85"/>
      <c r="AE30" s="85">
        <f t="shared" si="2"/>
        <v>0</v>
      </c>
      <c r="AF30" s="85"/>
      <c r="AG30" s="85">
        <f t="shared" si="3"/>
        <v>0</v>
      </c>
    </row>
    <row r="31" spans="1:33" s="22" customFormat="1" ht="13.5" x14ac:dyDescent="0.25">
      <c r="A31" s="75"/>
      <c r="B31" s="58"/>
      <c r="C31" s="58"/>
      <c r="D31" s="58"/>
      <c r="E31" s="82"/>
      <c r="F31" s="82"/>
      <c r="G31" s="82"/>
      <c r="H31" s="86"/>
      <c r="I31" s="86">
        <f t="shared" si="0"/>
        <v>0</v>
      </c>
      <c r="J31" s="86"/>
      <c r="K31" s="86">
        <f t="shared" si="1"/>
        <v>0</v>
      </c>
      <c r="X31" s="75"/>
      <c r="Y31" s="58"/>
      <c r="Z31" s="58"/>
      <c r="AA31" s="82"/>
      <c r="AB31" s="82"/>
      <c r="AC31" s="82"/>
      <c r="AD31" s="86"/>
      <c r="AE31" s="86">
        <f t="shared" si="2"/>
        <v>0</v>
      </c>
      <c r="AF31" s="86"/>
      <c r="AG31" s="86">
        <f t="shared" si="3"/>
        <v>0</v>
      </c>
    </row>
    <row r="32" spans="1:33" s="22" customFormat="1" ht="13.5" x14ac:dyDescent="0.25">
      <c r="A32" s="56"/>
      <c r="B32" s="57"/>
      <c r="C32" s="57"/>
      <c r="D32" s="57"/>
      <c r="E32" s="80"/>
      <c r="F32" s="80"/>
      <c r="G32" s="80"/>
      <c r="H32" s="85"/>
      <c r="I32" s="85">
        <f t="shared" si="0"/>
        <v>0</v>
      </c>
      <c r="J32" s="85"/>
      <c r="K32" s="85">
        <f t="shared" si="1"/>
        <v>0</v>
      </c>
      <c r="X32" s="56"/>
      <c r="Y32" s="57"/>
      <c r="Z32" s="57"/>
      <c r="AA32" s="80"/>
      <c r="AB32" s="80"/>
      <c r="AC32" s="80"/>
      <c r="AD32" s="85"/>
      <c r="AE32" s="85">
        <f t="shared" si="2"/>
        <v>0</v>
      </c>
      <c r="AF32" s="85"/>
      <c r="AG32" s="85">
        <f t="shared" si="3"/>
        <v>0</v>
      </c>
    </row>
    <row r="33" spans="1:33" s="22" customFormat="1" ht="13.5" x14ac:dyDescent="0.25">
      <c r="A33" s="75"/>
      <c r="B33" s="58"/>
      <c r="C33" s="58"/>
      <c r="D33" s="58"/>
      <c r="E33" s="82"/>
      <c r="F33" s="82"/>
      <c r="G33" s="82"/>
      <c r="H33" s="86"/>
      <c r="I33" s="86">
        <f t="shared" si="0"/>
        <v>0</v>
      </c>
      <c r="J33" s="86"/>
      <c r="K33" s="86">
        <f t="shared" si="1"/>
        <v>0</v>
      </c>
      <c r="X33" s="75"/>
      <c r="Y33" s="58"/>
      <c r="Z33" s="58"/>
      <c r="AA33" s="82"/>
      <c r="AB33" s="82"/>
      <c r="AC33" s="82"/>
      <c r="AD33" s="86"/>
      <c r="AE33" s="86">
        <f t="shared" si="2"/>
        <v>0</v>
      </c>
      <c r="AF33" s="86"/>
      <c r="AG33" s="86">
        <f t="shared" si="3"/>
        <v>0</v>
      </c>
    </row>
    <row r="34" spans="1:33" s="22" customFormat="1" ht="13.5" x14ac:dyDescent="0.25">
      <c r="A34" s="56"/>
      <c r="B34" s="57"/>
      <c r="C34" s="57"/>
      <c r="D34" s="57"/>
      <c r="E34" s="80"/>
      <c r="F34" s="80"/>
      <c r="G34" s="80"/>
      <c r="H34" s="85"/>
      <c r="I34" s="85">
        <f t="shared" si="0"/>
        <v>0</v>
      </c>
      <c r="J34" s="85"/>
      <c r="K34" s="85">
        <f t="shared" si="1"/>
        <v>0</v>
      </c>
      <c r="X34" s="56"/>
      <c r="Y34" s="57"/>
      <c r="Z34" s="57"/>
      <c r="AA34" s="80"/>
      <c r="AB34" s="80"/>
      <c r="AC34" s="80"/>
      <c r="AD34" s="85"/>
      <c r="AE34" s="85">
        <f t="shared" si="2"/>
        <v>0</v>
      </c>
      <c r="AF34" s="85"/>
      <c r="AG34" s="85">
        <f t="shared" si="3"/>
        <v>0</v>
      </c>
    </row>
    <row r="35" spans="1:33" s="22" customFormat="1" ht="13.5" x14ac:dyDescent="0.25">
      <c r="A35" s="75"/>
      <c r="B35" s="58"/>
      <c r="C35" s="58"/>
      <c r="D35" s="58"/>
      <c r="E35" s="82"/>
      <c r="F35" s="82"/>
      <c r="G35" s="82"/>
      <c r="H35" s="86"/>
      <c r="I35" s="86">
        <f t="shared" si="0"/>
        <v>0</v>
      </c>
      <c r="J35" s="86"/>
      <c r="K35" s="86">
        <f t="shared" si="1"/>
        <v>0</v>
      </c>
      <c r="X35" s="75"/>
      <c r="Y35" s="58"/>
      <c r="Z35" s="58"/>
      <c r="AA35" s="82"/>
      <c r="AB35" s="82"/>
      <c r="AC35" s="82"/>
      <c r="AD35" s="86"/>
      <c r="AE35" s="86">
        <f t="shared" si="2"/>
        <v>0</v>
      </c>
      <c r="AF35" s="86"/>
      <c r="AG35" s="86">
        <f t="shared" si="3"/>
        <v>0</v>
      </c>
    </row>
    <row r="36" spans="1:33" s="22" customFormat="1" ht="13.5" x14ac:dyDescent="0.25">
      <c r="A36" s="56"/>
      <c r="B36" s="57"/>
      <c r="C36" s="57"/>
      <c r="D36" s="57"/>
      <c r="E36" s="80"/>
      <c r="F36" s="80"/>
      <c r="G36" s="80"/>
      <c r="H36" s="85"/>
      <c r="I36" s="85">
        <f t="shared" si="0"/>
        <v>0</v>
      </c>
      <c r="J36" s="85"/>
      <c r="K36" s="85">
        <f t="shared" si="1"/>
        <v>0</v>
      </c>
      <c r="X36" s="56"/>
      <c r="Y36" s="57"/>
      <c r="Z36" s="57"/>
      <c r="AA36" s="80"/>
      <c r="AB36" s="80"/>
      <c r="AC36" s="80"/>
      <c r="AD36" s="85"/>
      <c r="AE36" s="85">
        <f t="shared" si="2"/>
        <v>0</v>
      </c>
      <c r="AF36" s="85"/>
      <c r="AG36" s="85">
        <f t="shared" si="3"/>
        <v>0</v>
      </c>
    </row>
    <row r="37" spans="1:33" s="22" customFormat="1" ht="13.5" x14ac:dyDescent="0.25">
      <c r="A37" s="75"/>
      <c r="B37" s="58"/>
      <c r="C37" s="58"/>
      <c r="D37" s="58"/>
      <c r="E37" s="82"/>
      <c r="F37" s="82"/>
      <c r="G37" s="82"/>
      <c r="H37" s="86"/>
      <c r="I37" s="86">
        <f t="shared" si="0"/>
        <v>0</v>
      </c>
      <c r="J37" s="86"/>
      <c r="K37" s="86">
        <f t="shared" si="1"/>
        <v>0</v>
      </c>
      <c r="X37" s="75"/>
      <c r="Y37" s="58"/>
      <c r="Z37" s="58"/>
      <c r="AA37" s="82"/>
      <c r="AB37" s="82"/>
      <c r="AC37" s="82"/>
      <c r="AD37" s="86"/>
      <c r="AE37" s="86">
        <f t="shared" si="2"/>
        <v>0</v>
      </c>
      <c r="AF37" s="86"/>
      <c r="AG37" s="86">
        <f t="shared" si="3"/>
        <v>0</v>
      </c>
    </row>
    <row r="38" spans="1:33" s="22" customFormat="1" ht="13.5" x14ac:dyDescent="0.25">
      <c r="A38" s="56"/>
      <c r="B38" s="57"/>
      <c r="C38" s="57"/>
      <c r="D38" s="57"/>
      <c r="E38" s="80"/>
      <c r="F38" s="80"/>
      <c r="G38" s="80"/>
      <c r="H38" s="85"/>
      <c r="I38" s="85">
        <f t="shared" si="0"/>
        <v>0</v>
      </c>
      <c r="J38" s="85"/>
      <c r="K38" s="85">
        <f t="shared" si="1"/>
        <v>0</v>
      </c>
      <c r="X38" s="56"/>
      <c r="Y38" s="57"/>
      <c r="Z38" s="57"/>
      <c r="AA38" s="80"/>
      <c r="AB38" s="80"/>
      <c r="AC38" s="80"/>
      <c r="AD38" s="85"/>
      <c r="AE38" s="85">
        <f t="shared" si="2"/>
        <v>0</v>
      </c>
      <c r="AF38" s="85"/>
      <c r="AG38" s="85">
        <f t="shared" si="3"/>
        <v>0</v>
      </c>
    </row>
    <row r="39" spans="1:33" s="22" customFormat="1" ht="13.5" x14ac:dyDescent="0.25">
      <c r="A39" s="75"/>
      <c r="B39" s="58"/>
      <c r="C39" s="58"/>
      <c r="D39" s="58"/>
      <c r="E39" s="82"/>
      <c r="F39" s="82"/>
      <c r="G39" s="82"/>
      <c r="H39" s="86"/>
      <c r="I39" s="86">
        <f t="shared" si="0"/>
        <v>0</v>
      </c>
      <c r="J39" s="86"/>
      <c r="K39" s="86">
        <f t="shared" si="1"/>
        <v>0</v>
      </c>
      <c r="X39" s="75"/>
      <c r="Y39" s="58"/>
      <c r="Z39" s="58"/>
      <c r="AA39" s="82"/>
      <c r="AB39" s="82"/>
      <c r="AC39" s="82"/>
      <c r="AD39" s="86"/>
      <c r="AE39" s="86">
        <f t="shared" si="2"/>
        <v>0</v>
      </c>
      <c r="AF39" s="86"/>
      <c r="AG39" s="86">
        <f t="shared" si="3"/>
        <v>0</v>
      </c>
    </row>
    <row r="40" spans="1:33" s="22" customFormat="1" ht="13.5" x14ac:dyDescent="0.25">
      <c r="A40" s="56"/>
      <c r="B40" s="57"/>
      <c r="C40" s="57"/>
      <c r="D40" s="57"/>
      <c r="E40" s="80"/>
      <c r="F40" s="80"/>
      <c r="G40" s="80"/>
      <c r="H40" s="85"/>
      <c r="I40" s="85">
        <f t="shared" si="0"/>
        <v>0</v>
      </c>
      <c r="J40" s="85"/>
      <c r="K40" s="85">
        <f t="shared" si="1"/>
        <v>0</v>
      </c>
      <c r="X40" s="56"/>
      <c r="Y40" s="57"/>
      <c r="Z40" s="57"/>
      <c r="AA40" s="80"/>
      <c r="AB40" s="80"/>
      <c r="AC40" s="80"/>
      <c r="AD40" s="85"/>
      <c r="AE40" s="85">
        <f t="shared" si="2"/>
        <v>0</v>
      </c>
      <c r="AF40" s="85"/>
      <c r="AG40" s="85">
        <f t="shared" si="3"/>
        <v>0</v>
      </c>
    </row>
    <row r="41" spans="1:33" s="22" customFormat="1" ht="13.5" x14ac:dyDescent="0.25">
      <c r="A41" s="75"/>
      <c r="B41" s="58"/>
      <c r="C41" s="58"/>
      <c r="D41" s="58"/>
      <c r="E41" s="82"/>
      <c r="F41" s="82"/>
      <c r="G41" s="82"/>
      <c r="H41" s="86"/>
      <c r="I41" s="86">
        <f t="shared" si="0"/>
        <v>0</v>
      </c>
      <c r="J41" s="86"/>
      <c r="K41" s="86">
        <f t="shared" si="1"/>
        <v>0</v>
      </c>
      <c r="X41" s="75"/>
      <c r="Y41" s="58"/>
      <c r="Z41" s="58"/>
      <c r="AA41" s="82"/>
      <c r="AB41" s="82"/>
      <c r="AC41" s="82"/>
      <c r="AD41" s="86"/>
      <c r="AE41" s="86">
        <f t="shared" si="2"/>
        <v>0</v>
      </c>
      <c r="AF41" s="86"/>
      <c r="AG41" s="86">
        <f t="shared" si="3"/>
        <v>0</v>
      </c>
    </row>
    <row r="42" spans="1:33" s="22" customFormat="1" ht="13.5" x14ac:dyDescent="0.25">
      <c r="A42" s="56"/>
      <c r="B42" s="57"/>
      <c r="C42" s="57"/>
      <c r="D42" s="57"/>
      <c r="E42" s="80"/>
      <c r="F42" s="80"/>
      <c r="G42" s="80"/>
      <c r="H42" s="85"/>
      <c r="I42" s="85">
        <f t="shared" si="0"/>
        <v>0</v>
      </c>
      <c r="J42" s="85"/>
      <c r="K42" s="85">
        <f t="shared" si="1"/>
        <v>0</v>
      </c>
      <c r="X42" s="56"/>
      <c r="Y42" s="57"/>
      <c r="Z42" s="57"/>
      <c r="AA42" s="80"/>
      <c r="AB42" s="80"/>
      <c r="AC42" s="80"/>
      <c r="AD42" s="85"/>
      <c r="AE42" s="85">
        <f t="shared" si="2"/>
        <v>0</v>
      </c>
      <c r="AF42" s="85"/>
      <c r="AG42" s="85">
        <f t="shared" si="3"/>
        <v>0</v>
      </c>
    </row>
    <row r="43" spans="1:33" s="22" customFormat="1" ht="13.5" x14ac:dyDescent="0.25">
      <c r="A43" s="75"/>
      <c r="B43" s="58"/>
      <c r="C43" s="58"/>
      <c r="D43" s="58"/>
      <c r="E43" s="82"/>
      <c r="F43" s="82"/>
      <c r="G43" s="82"/>
      <c r="H43" s="86"/>
      <c r="I43" s="86">
        <f t="shared" si="0"/>
        <v>0</v>
      </c>
      <c r="J43" s="86"/>
      <c r="K43" s="86">
        <f t="shared" si="1"/>
        <v>0</v>
      </c>
      <c r="X43" s="75"/>
      <c r="Y43" s="58"/>
      <c r="Z43" s="58"/>
      <c r="AA43" s="82"/>
      <c r="AB43" s="82"/>
      <c r="AC43" s="82"/>
      <c r="AD43" s="86"/>
      <c r="AE43" s="86">
        <f t="shared" si="2"/>
        <v>0</v>
      </c>
      <c r="AF43" s="86"/>
      <c r="AG43" s="86">
        <f t="shared" si="3"/>
        <v>0</v>
      </c>
    </row>
    <row r="44" spans="1:33" s="22" customFormat="1" ht="13.5" x14ac:dyDescent="0.25">
      <c r="A44" s="56"/>
      <c r="B44" s="57"/>
      <c r="C44" s="57"/>
      <c r="D44" s="57"/>
      <c r="E44" s="80"/>
      <c r="F44" s="80"/>
      <c r="G44" s="80"/>
      <c r="H44" s="85"/>
      <c r="I44" s="85">
        <f t="shared" si="0"/>
        <v>0</v>
      </c>
      <c r="J44" s="85"/>
      <c r="K44" s="85">
        <f t="shared" si="1"/>
        <v>0</v>
      </c>
      <c r="X44" s="56"/>
      <c r="Y44" s="57"/>
      <c r="Z44" s="57"/>
      <c r="AA44" s="80"/>
      <c r="AB44" s="80"/>
      <c r="AC44" s="80"/>
      <c r="AD44" s="85"/>
      <c r="AE44" s="85">
        <f t="shared" si="2"/>
        <v>0</v>
      </c>
      <c r="AF44" s="85"/>
      <c r="AG44" s="85">
        <f t="shared" si="3"/>
        <v>0</v>
      </c>
    </row>
    <row r="45" spans="1:33" s="22" customFormat="1" ht="13.5" x14ac:dyDescent="0.25">
      <c r="A45" s="75"/>
      <c r="B45" s="58"/>
      <c r="C45" s="58"/>
      <c r="D45" s="58"/>
      <c r="E45" s="82"/>
      <c r="F45" s="82"/>
      <c r="G45" s="82"/>
      <c r="H45" s="86"/>
      <c r="I45" s="86">
        <f t="shared" si="0"/>
        <v>0</v>
      </c>
      <c r="J45" s="86"/>
      <c r="K45" s="86">
        <f t="shared" si="1"/>
        <v>0</v>
      </c>
      <c r="X45" s="75"/>
      <c r="Y45" s="58"/>
      <c r="Z45" s="58"/>
      <c r="AA45" s="82"/>
      <c r="AB45" s="82"/>
      <c r="AC45" s="82"/>
      <c r="AD45" s="86"/>
      <c r="AE45" s="86">
        <f t="shared" si="2"/>
        <v>0</v>
      </c>
      <c r="AF45" s="86"/>
      <c r="AG45" s="86">
        <f t="shared" si="3"/>
        <v>0</v>
      </c>
    </row>
    <row r="46" spans="1:33" s="22" customFormat="1" ht="13.5" x14ac:dyDescent="0.25">
      <c r="A46" s="56"/>
      <c r="B46" s="57"/>
      <c r="C46" s="57"/>
      <c r="D46" s="57"/>
      <c r="E46" s="80"/>
      <c r="F46" s="80"/>
      <c r="G46" s="80"/>
      <c r="H46" s="85"/>
      <c r="I46" s="85">
        <f t="shared" si="0"/>
        <v>0</v>
      </c>
      <c r="J46" s="85"/>
      <c r="K46" s="85">
        <f t="shared" si="1"/>
        <v>0</v>
      </c>
      <c r="X46" s="56"/>
      <c r="Y46" s="57"/>
      <c r="Z46" s="57"/>
      <c r="AA46" s="80"/>
      <c r="AB46" s="80"/>
      <c r="AC46" s="80"/>
      <c r="AD46" s="85"/>
      <c r="AE46" s="85">
        <f t="shared" si="2"/>
        <v>0</v>
      </c>
      <c r="AF46" s="85"/>
      <c r="AG46" s="85">
        <f t="shared" si="3"/>
        <v>0</v>
      </c>
    </row>
    <row r="47" spans="1:33" s="22" customFormat="1" ht="13.5" x14ac:dyDescent="0.25">
      <c r="A47" s="75"/>
      <c r="B47" s="58"/>
      <c r="C47" s="58"/>
      <c r="D47" s="58"/>
      <c r="E47" s="82"/>
      <c r="F47" s="82"/>
      <c r="G47" s="82"/>
      <c r="H47" s="86"/>
      <c r="I47" s="86">
        <f t="shared" si="0"/>
        <v>0</v>
      </c>
      <c r="J47" s="86"/>
      <c r="K47" s="86">
        <f t="shared" si="1"/>
        <v>0</v>
      </c>
      <c r="X47" s="75"/>
      <c r="Y47" s="58"/>
      <c r="Z47" s="58"/>
      <c r="AA47" s="82"/>
      <c r="AB47" s="82"/>
      <c r="AC47" s="82"/>
      <c r="AD47" s="86"/>
      <c r="AE47" s="86">
        <f t="shared" si="2"/>
        <v>0</v>
      </c>
      <c r="AF47" s="86"/>
      <c r="AG47" s="86">
        <f t="shared" si="3"/>
        <v>0</v>
      </c>
    </row>
    <row r="48" spans="1:33" s="22" customFormat="1" ht="13.5" x14ac:dyDescent="0.25">
      <c r="A48" s="56"/>
      <c r="B48" s="57"/>
      <c r="C48" s="57"/>
      <c r="D48" s="57"/>
      <c r="E48" s="80"/>
      <c r="F48" s="80"/>
      <c r="G48" s="80"/>
      <c r="H48" s="85"/>
      <c r="I48" s="85">
        <f t="shared" ref="I48:I67" si="4">A48*H48</f>
        <v>0</v>
      </c>
      <c r="J48" s="85"/>
      <c r="K48" s="85">
        <f t="shared" ref="K48:K67" si="5">A48*J48</f>
        <v>0</v>
      </c>
      <c r="X48" s="56"/>
      <c r="Y48" s="57"/>
      <c r="Z48" s="57"/>
      <c r="AA48" s="80"/>
      <c r="AB48" s="80"/>
      <c r="AC48" s="80"/>
      <c r="AD48" s="85"/>
      <c r="AE48" s="85">
        <f t="shared" si="2"/>
        <v>0</v>
      </c>
      <c r="AF48" s="85"/>
      <c r="AG48" s="85">
        <f t="shared" si="3"/>
        <v>0</v>
      </c>
    </row>
    <row r="49" spans="1:33" s="22" customFormat="1" ht="13.5" x14ac:dyDescent="0.25">
      <c r="A49" s="75"/>
      <c r="B49" s="58"/>
      <c r="C49" s="58"/>
      <c r="D49" s="58"/>
      <c r="E49" s="82"/>
      <c r="F49" s="82"/>
      <c r="G49" s="82"/>
      <c r="H49" s="86"/>
      <c r="I49" s="86">
        <f t="shared" si="4"/>
        <v>0</v>
      </c>
      <c r="J49" s="86"/>
      <c r="K49" s="86">
        <f t="shared" si="5"/>
        <v>0</v>
      </c>
      <c r="X49" s="75"/>
      <c r="Y49" s="58"/>
      <c r="Z49" s="58"/>
      <c r="AA49" s="82"/>
      <c r="AB49" s="82"/>
      <c r="AC49" s="82"/>
      <c r="AD49" s="86"/>
      <c r="AE49" s="86">
        <f t="shared" si="2"/>
        <v>0</v>
      </c>
      <c r="AF49" s="86"/>
      <c r="AG49" s="86">
        <f t="shared" si="3"/>
        <v>0</v>
      </c>
    </row>
    <row r="50" spans="1:33" s="22" customFormat="1" ht="13.5" x14ac:dyDescent="0.25">
      <c r="A50" s="56"/>
      <c r="B50" s="57"/>
      <c r="C50" s="57"/>
      <c r="D50" s="57"/>
      <c r="E50" s="80"/>
      <c r="F50" s="80"/>
      <c r="G50" s="80"/>
      <c r="H50" s="85"/>
      <c r="I50" s="85">
        <f t="shared" si="4"/>
        <v>0</v>
      </c>
      <c r="J50" s="85"/>
      <c r="K50" s="85">
        <f t="shared" si="5"/>
        <v>0</v>
      </c>
      <c r="X50" s="56"/>
      <c r="Y50" s="57"/>
      <c r="Z50" s="57"/>
      <c r="AA50" s="80"/>
      <c r="AB50" s="80"/>
      <c r="AC50" s="80"/>
      <c r="AD50" s="85"/>
      <c r="AE50" s="85">
        <f t="shared" si="2"/>
        <v>0</v>
      </c>
      <c r="AF50" s="85"/>
      <c r="AG50" s="85">
        <f t="shared" si="3"/>
        <v>0</v>
      </c>
    </row>
    <row r="51" spans="1:33" s="22" customFormat="1" ht="13.5" x14ac:dyDescent="0.25">
      <c r="A51" s="75"/>
      <c r="B51" s="58"/>
      <c r="C51" s="58"/>
      <c r="D51" s="58"/>
      <c r="E51" s="82"/>
      <c r="F51" s="82"/>
      <c r="G51" s="82"/>
      <c r="H51" s="86"/>
      <c r="I51" s="86">
        <f t="shared" si="4"/>
        <v>0</v>
      </c>
      <c r="J51" s="86"/>
      <c r="K51" s="86">
        <f t="shared" si="5"/>
        <v>0</v>
      </c>
      <c r="X51" s="75"/>
      <c r="Y51" s="58"/>
      <c r="Z51" s="58"/>
      <c r="AA51" s="82"/>
      <c r="AB51" s="82"/>
      <c r="AC51" s="82"/>
      <c r="AD51" s="86"/>
      <c r="AE51" s="86">
        <f t="shared" si="2"/>
        <v>0</v>
      </c>
      <c r="AF51" s="86"/>
      <c r="AG51" s="86">
        <f t="shared" si="3"/>
        <v>0</v>
      </c>
    </row>
    <row r="52" spans="1:33" s="22" customFormat="1" ht="13.5" x14ac:dyDescent="0.25">
      <c r="A52" s="56"/>
      <c r="B52" s="57"/>
      <c r="C52" s="57"/>
      <c r="D52" s="57"/>
      <c r="E52" s="80"/>
      <c r="F52" s="80"/>
      <c r="G52" s="80"/>
      <c r="H52" s="85"/>
      <c r="I52" s="85">
        <f t="shared" si="4"/>
        <v>0</v>
      </c>
      <c r="J52" s="85"/>
      <c r="K52" s="85">
        <f t="shared" si="5"/>
        <v>0</v>
      </c>
      <c r="X52" s="56"/>
      <c r="Y52" s="57"/>
      <c r="Z52" s="57"/>
      <c r="AA52" s="80"/>
      <c r="AB52" s="80"/>
      <c r="AC52" s="80"/>
      <c r="AD52" s="85"/>
      <c r="AE52" s="85">
        <f t="shared" si="2"/>
        <v>0</v>
      </c>
      <c r="AF52" s="85"/>
      <c r="AG52" s="85">
        <f t="shared" si="3"/>
        <v>0</v>
      </c>
    </row>
    <row r="53" spans="1:33" s="22" customFormat="1" ht="13.5" x14ac:dyDescent="0.25">
      <c r="A53" s="75"/>
      <c r="B53" s="58"/>
      <c r="C53" s="58"/>
      <c r="D53" s="58"/>
      <c r="E53" s="82"/>
      <c r="F53" s="82"/>
      <c r="G53" s="82"/>
      <c r="H53" s="86"/>
      <c r="I53" s="86">
        <f t="shared" si="4"/>
        <v>0</v>
      </c>
      <c r="J53" s="86"/>
      <c r="K53" s="86">
        <f t="shared" si="5"/>
        <v>0</v>
      </c>
      <c r="X53" s="75"/>
      <c r="Y53" s="58"/>
      <c r="Z53" s="58"/>
      <c r="AA53" s="82"/>
      <c r="AB53" s="82"/>
      <c r="AC53" s="82"/>
      <c r="AD53" s="86"/>
      <c r="AE53" s="86">
        <f t="shared" si="2"/>
        <v>0</v>
      </c>
      <c r="AF53" s="86"/>
      <c r="AG53" s="86">
        <f t="shared" si="3"/>
        <v>0</v>
      </c>
    </row>
    <row r="54" spans="1:33" s="22" customFormat="1" ht="13.5" x14ac:dyDescent="0.25">
      <c r="A54" s="56"/>
      <c r="B54" s="57"/>
      <c r="C54" s="57"/>
      <c r="D54" s="57"/>
      <c r="E54" s="80"/>
      <c r="F54" s="80"/>
      <c r="G54" s="80"/>
      <c r="H54" s="85"/>
      <c r="I54" s="85">
        <f t="shared" si="4"/>
        <v>0</v>
      </c>
      <c r="J54" s="85"/>
      <c r="K54" s="85">
        <f t="shared" si="5"/>
        <v>0</v>
      </c>
      <c r="X54" s="56"/>
      <c r="Y54" s="57"/>
      <c r="Z54" s="57"/>
      <c r="AA54" s="80"/>
      <c r="AB54" s="80"/>
      <c r="AC54" s="80"/>
      <c r="AD54" s="85"/>
      <c r="AE54" s="85">
        <f t="shared" si="2"/>
        <v>0</v>
      </c>
      <c r="AF54" s="85"/>
      <c r="AG54" s="85">
        <f t="shared" si="3"/>
        <v>0</v>
      </c>
    </row>
    <row r="55" spans="1:33" s="22" customFormat="1" ht="13.5" x14ac:dyDescent="0.25">
      <c r="A55" s="75"/>
      <c r="B55" s="58"/>
      <c r="C55" s="58"/>
      <c r="D55" s="58"/>
      <c r="E55" s="82"/>
      <c r="F55" s="82"/>
      <c r="G55" s="82"/>
      <c r="H55" s="86"/>
      <c r="I55" s="86">
        <f t="shared" si="4"/>
        <v>0</v>
      </c>
      <c r="J55" s="86"/>
      <c r="K55" s="86">
        <f t="shared" si="5"/>
        <v>0</v>
      </c>
      <c r="X55" s="75"/>
      <c r="Y55" s="58"/>
      <c r="Z55" s="58"/>
      <c r="AA55" s="82"/>
      <c r="AB55" s="82"/>
      <c r="AC55" s="82"/>
      <c r="AD55" s="86"/>
      <c r="AE55" s="86">
        <f t="shared" si="2"/>
        <v>0</v>
      </c>
      <c r="AF55" s="86"/>
      <c r="AG55" s="86">
        <f t="shared" si="3"/>
        <v>0</v>
      </c>
    </row>
    <row r="56" spans="1:33" s="22" customFormat="1" ht="13.5" x14ac:dyDescent="0.25">
      <c r="A56" s="56"/>
      <c r="B56" s="57"/>
      <c r="C56" s="57"/>
      <c r="D56" s="57"/>
      <c r="E56" s="80"/>
      <c r="F56" s="80"/>
      <c r="G56" s="80"/>
      <c r="H56" s="85"/>
      <c r="I56" s="85">
        <f t="shared" si="4"/>
        <v>0</v>
      </c>
      <c r="J56" s="85"/>
      <c r="K56" s="85">
        <f t="shared" si="5"/>
        <v>0</v>
      </c>
      <c r="X56" s="56"/>
      <c r="Y56" s="57"/>
      <c r="Z56" s="57"/>
      <c r="AA56" s="80"/>
      <c r="AB56" s="80"/>
      <c r="AC56" s="80"/>
      <c r="AD56" s="85"/>
      <c r="AE56" s="85">
        <f t="shared" si="2"/>
        <v>0</v>
      </c>
      <c r="AF56" s="85"/>
      <c r="AG56" s="85">
        <f t="shared" si="3"/>
        <v>0</v>
      </c>
    </row>
    <row r="57" spans="1:33" s="22" customFormat="1" ht="13.5" x14ac:dyDescent="0.25">
      <c r="A57" s="75"/>
      <c r="B57" s="58"/>
      <c r="C57" s="58"/>
      <c r="D57" s="58"/>
      <c r="E57" s="82"/>
      <c r="F57" s="82"/>
      <c r="G57" s="82"/>
      <c r="H57" s="86"/>
      <c r="I57" s="86">
        <f t="shared" si="4"/>
        <v>0</v>
      </c>
      <c r="J57" s="86"/>
      <c r="K57" s="86">
        <f t="shared" si="5"/>
        <v>0</v>
      </c>
      <c r="X57" s="75"/>
      <c r="Y57" s="58"/>
      <c r="Z57" s="58"/>
      <c r="AA57" s="82"/>
      <c r="AB57" s="82"/>
      <c r="AC57" s="82"/>
      <c r="AD57" s="86"/>
      <c r="AE57" s="86">
        <f t="shared" si="2"/>
        <v>0</v>
      </c>
      <c r="AF57" s="86"/>
      <c r="AG57" s="86">
        <f t="shared" si="3"/>
        <v>0</v>
      </c>
    </row>
    <row r="58" spans="1:33" s="22" customFormat="1" ht="13.5" x14ac:dyDescent="0.25">
      <c r="A58" s="56"/>
      <c r="B58" s="57"/>
      <c r="C58" s="57"/>
      <c r="D58" s="57"/>
      <c r="E58" s="80"/>
      <c r="F58" s="80"/>
      <c r="G58" s="80"/>
      <c r="H58" s="85"/>
      <c r="I58" s="85">
        <f t="shared" si="4"/>
        <v>0</v>
      </c>
      <c r="J58" s="85"/>
      <c r="K58" s="85">
        <f t="shared" si="5"/>
        <v>0</v>
      </c>
      <c r="X58" s="56"/>
      <c r="Y58" s="57"/>
      <c r="Z58" s="57"/>
      <c r="AA58" s="80"/>
      <c r="AB58" s="80"/>
      <c r="AC58" s="80"/>
      <c r="AD58" s="85"/>
      <c r="AE58" s="85">
        <f t="shared" si="2"/>
        <v>0</v>
      </c>
      <c r="AF58" s="85"/>
      <c r="AG58" s="85">
        <f t="shared" si="3"/>
        <v>0</v>
      </c>
    </row>
    <row r="59" spans="1:33" s="22" customFormat="1" ht="13.5" x14ac:dyDescent="0.25">
      <c r="A59" s="75"/>
      <c r="B59" s="58"/>
      <c r="C59" s="58"/>
      <c r="D59" s="58"/>
      <c r="E59" s="82"/>
      <c r="F59" s="82"/>
      <c r="G59" s="82"/>
      <c r="H59" s="86"/>
      <c r="I59" s="86">
        <f t="shared" si="4"/>
        <v>0</v>
      </c>
      <c r="J59" s="86"/>
      <c r="K59" s="86">
        <f t="shared" si="5"/>
        <v>0</v>
      </c>
      <c r="X59" s="75"/>
      <c r="Y59" s="58"/>
      <c r="Z59" s="58"/>
      <c r="AA59" s="82"/>
      <c r="AB59" s="82"/>
      <c r="AC59" s="82"/>
      <c r="AD59" s="86"/>
      <c r="AE59" s="86">
        <f t="shared" si="2"/>
        <v>0</v>
      </c>
      <c r="AF59" s="86"/>
      <c r="AG59" s="86">
        <f t="shared" si="3"/>
        <v>0</v>
      </c>
    </row>
    <row r="60" spans="1:33" s="22" customFormat="1" ht="13.5" x14ac:dyDescent="0.25">
      <c r="A60" s="56"/>
      <c r="B60" s="57"/>
      <c r="C60" s="57"/>
      <c r="D60" s="57"/>
      <c r="E60" s="80"/>
      <c r="F60" s="80"/>
      <c r="G60" s="80"/>
      <c r="H60" s="85"/>
      <c r="I60" s="85">
        <f t="shared" si="4"/>
        <v>0</v>
      </c>
      <c r="J60" s="85"/>
      <c r="K60" s="85">
        <f t="shared" si="5"/>
        <v>0</v>
      </c>
      <c r="X60" s="56"/>
      <c r="Y60" s="57"/>
      <c r="Z60" s="57"/>
      <c r="AA60" s="80"/>
      <c r="AB60" s="80"/>
      <c r="AC60" s="80"/>
      <c r="AD60" s="85"/>
      <c r="AE60" s="85">
        <f t="shared" si="2"/>
        <v>0</v>
      </c>
      <c r="AF60" s="85"/>
      <c r="AG60" s="85">
        <f t="shared" si="3"/>
        <v>0</v>
      </c>
    </row>
    <row r="61" spans="1:33" s="22" customFormat="1" ht="13.5" x14ac:dyDescent="0.25">
      <c r="A61" s="75"/>
      <c r="B61" s="58"/>
      <c r="C61" s="58"/>
      <c r="D61" s="58"/>
      <c r="E61" s="82"/>
      <c r="F61" s="82"/>
      <c r="G61" s="82"/>
      <c r="H61" s="86"/>
      <c r="I61" s="86">
        <f t="shared" si="4"/>
        <v>0</v>
      </c>
      <c r="J61" s="86"/>
      <c r="K61" s="86">
        <f t="shared" si="5"/>
        <v>0</v>
      </c>
      <c r="X61" s="75"/>
      <c r="Y61" s="58"/>
      <c r="Z61" s="58"/>
      <c r="AA61" s="82"/>
      <c r="AB61" s="82"/>
      <c r="AC61" s="82"/>
      <c r="AD61" s="86"/>
      <c r="AE61" s="86">
        <f t="shared" si="2"/>
        <v>0</v>
      </c>
      <c r="AF61" s="86"/>
      <c r="AG61" s="86">
        <f t="shared" si="3"/>
        <v>0</v>
      </c>
    </row>
    <row r="62" spans="1:33" s="22" customFormat="1" ht="13.5" x14ac:dyDescent="0.25">
      <c r="A62" s="56"/>
      <c r="B62" s="57"/>
      <c r="C62" s="57"/>
      <c r="D62" s="57"/>
      <c r="E62" s="80"/>
      <c r="F62" s="80"/>
      <c r="G62" s="80"/>
      <c r="H62" s="85"/>
      <c r="I62" s="85">
        <f t="shared" si="4"/>
        <v>0</v>
      </c>
      <c r="J62" s="85"/>
      <c r="K62" s="85">
        <f t="shared" si="5"/>
        <v>0</v>
      </c>
      <c r="X62" s="56"/>
      <c r="Y62" s="57"/>
      <c r="Z62" s="57"/>
      <c r="AA62" s="80"/>
      <c r="AB62" s="80"/>
      <c r="AC62" s="80"/>
      <c r="AD62" s="85"/>
      <c r="AE62" s="85">
        <f t="shared" si="2"/>
        <v>0</v>
      </c>
      <c r="AF62" s="85"/>
      <c r="AG62" s="85">
        <f t="shared" si="3"/>
        <v>0</v>
      </c>
    </row>
    <row r="63" spans="1:33" s="22" customFormat="1" ht="13.5" x14ac:dyDescent="0.25">
      <c r="A63" s="75"/>
      <c r="B63" s="58"/>
      <c r="C63" s="58"/>
      <c r="D63" s="58"/>
      <c r="E63" s="82"/>
      <c r="F63" s="82"/>
      <c r="G63" s="82"/>
      <c r="H63" s="86"/>
      <c r="I63" s="86">
        <f t="shared" si="4"/>
        <v>0</v>
      </c>
      <c r="J63" s="86"/>
      <c r="K63" s="86">
        <f t="shared" si="5"/>
        <v>0</v>
      </c>
      <c r="X63" s="75"/>
      <c r="Y63" s="58"/>
      <c r="Z63" s="58"/>
      <c r="AA63" s="82"/>
      <c r="AB63" s="82"/>
      <c r="AC63" s="82"/>
      <c r="AD63" s="86"/>
      <c r="AE63" s="86">
        <f t="shared" si="2"/>
        <v>0</v>
      </c>
      <c r="AF63" s="86"/>
      <c r="AG63" s="86">
        <f t="shared" si="3"/>
        <v>0</v>
      </c>
    </row>
    <row r="64" spans="1:33" s="22" customFormat="1" ht="13.5" x14ac:dyDescent="0.25">
      <c r="A64" s="56"/>
      <c r="B64" s="57"/>
      <c r="C64" s="57"/>
      <c r="D64" s="57"/>
      <c r="E64" s="80"/>
      <c r="F64" s="80"/>
      <c r="G64" s="80"/>
      <c r="H64" s="85"/>
      <c r="I64" s="85">
        <f t="shared" si="4"/>
        <v>0</v>
      </c>
      <c r="J64" s="85"/>
      <c r="K64" s="85">
        <f t="shared" si="5"/>
        <v>0</v>
      </c>
      <c r="X64" s="56"/>
      <c r="Y64" s="57"/>
      <c r="Z64" s="57"/>
      <c r="AA64" s="80"/>
      <c r="AB64" s="80"/>
      <c r="AC64" s="80"/>
      <c r="AD64" s="85"/>
      <c r="AE64" s="85">
        <f t="shared" si="2"/>
        <v>0</v>
      </c>
      <c r="AF64" s="85"/>
      <c r="AG64" s="85">
        <f t="shared" si="3"/>
        <v>0</v>
      </c>
    </row>
    <row r="65" spans="1:33" s="22" customFormat="1" ht="13.5" x14ac:dyDescent="0.25">
      <c r="A65" s="75"/>
      <c r="B65" s="58"/>
      <c r="C65" s="58"/>
      <c r="D65" s="58"/>
      <c r="E65" s="82"/>
      <c r="F65" s="82"/>
      <c r="G65" s="82"/>
      <c r="H65" s="86"/>
      <c r="I65" s="86">
        <f t="shared" si="4"/>
        <v>0</v>
      </c>
      <c r="J65" s="86"/>
      <c r="K65" s="86">
        <f t="shared" si="5"/>
        <v>0</v>
      </c>
      <c r="X65" s="75"/>
      <c r="Y65" s="58"/>
      <c r="Z65" s="58"/>
      <c r="AA65" s="82"/>
      <c r="AB65" s="82"/>
      <c r="AC65" s="82"/>
      <c r="AD65" s="86"/>
      <c r="AE65" s="86">
        <f t="shared" si="2"/>
        <v>0</v>
      </c>
      <c r="AF65" s="86"/>
      <c r="AG65" s="86">
        <f t="shared" si="3"/>
        <v>0</v>
      </c>
    </row>
    <row r="66" spans="1:33" s="22" customFormat="1" ht="13.5" x14ac:dyDescent="0.25">
      <c r="A66" s="56"/>
      <c r="B66" s="57"/>
      <c r="C66" s="57"/>
      <c r="D66" s="57"/>
      <c r="E66" s="80"/>
      <c r="F66" s="80"/>
      <c r="G66" s="80"/>
      <c r="H66" s="85"/>
      <c r="I66" s="85">
        <f t="shared" si="4"/>
        <v>0</v>
      </c>
      <c r="J66" s="85"/>
      <c r="K66" s="85">
        <f t="shared" si="5"/>
        <v>0</v>
      </c>
      <c r="X66" s="56"/>
      <c r="Y66" s="57"/>
      <c r="Z66" s="57"/>
      <c r="AA66" s="80"/>
      <c r="AB66" s="80"/>
      <c r="AC66" s="80"/>
      <c r="AD66" s="85"/>
      <c r="AE66" s="85">
        <f t="shared" si="2"/>
        <v>0</v>
      </c>
      <c r="AF66" s="85"/>
      <c r="AG66" s="85">
        <f t="shared" si="3"/>
        <v>0</v>
      </c>
    </row>
    <row r="67" spans="1:33" s="22" customFormat="1" ht="13.5" x14ac:dyDescent="0.25">
      <c r="A67" s="75"/>
      <c r="B67" s="58"/>
      <c r="C67" s="58"/>
      <c r="D67" s="58"/>
      <c r="E67" s="82"/>
      <c r="F67" s="82"/>
      <c r="G67" s="82"/>
      <c r="H67" s="86"/>
      <c r="I67" s="86">
        <f t="shared" si="4"/>
        <v>0</v>
      </c>
      <c r="J67" s="86"/>
      <c r="K67" s="86">
        <f t="shared" si="5"/>
        <v>0</v>
      </c>
      <c r="X67" s="75"/>
      <c r="Y67" s="58"/>
      <c r="Z67" s="58"/>
      <c r="AA67" s="82"/>
      <c r="AB67" s="82"/>
      <c r="AC67" s="82"/>
      <c r="AD67" s="86"/>
      <c r="AE67" s="86">
        <f t="shared" si="2"/>
        <v>0</v>
      </c>
      <c r="AF67" s="86"/>
      <c r="AG67" s="86">
        <f t="shared" si="3"/>
        <v>0</v>
      </c>
    </row>
    <row r="68" spans="1:33" s="22" customFormat="1" ht="13.5" x14ac:dyDescent="0.25">
      <c r="A68" s="109"/>
      <c r="B68" s="110"/>
      <c r="C68" s="110"/>
      <c r="D68" s="110"/>
      <c r="E68" s="111"/>
      <c r="F68" s="111"/>
      <c r="G68" s="111"/>
      <c r="H68" s="112">
        <f>SUM(H16:H67)</f>
        <v>17007</v>
      </c>
      <c r="I68" s="112">
        <f>SUM(I16:I67)</f>
        <v>17007</v>
      </c>
      <c r="J68" s="112">
        <f>SUM(J16:J67)</f>
        <v>6153.97</v>
      </c>
      <c r="K68" s="112">
        <f>SUM(K16:K67)</f>
        <v>6153.97</v>
      </c>
      <c r="X68" s="109"/>
      <c r="Y68" s="110"/>
      <c r="Z68" s="110"/>
      <c r="AA68" s="111"/>
      <c r="AB68" s="111"/>
      <c r="AC68" s="111"/>
      <c r="AD68" s="112">
        <f>SUM(AD16:AD67)</f>
        <v>15000</v>
      </c>
      <c r="AE68" s="112">
        <f>SUM(AE16:AE67)</f>
        <v>15000</v>
      </c>
      <c r="AF68" s="112">
        <f>SUM(AF16:AF67)</f>
        <v>5250</v>
      </c>
      <c r="AG68" s="112">
        <f>SUM(AG16:AG67)</f>
        <v>5250</v>
      </c>
    </row>
  </sheetData>
  <mergeCells count="28">
    <mergeCell ref="L20:W26"/>
    <mergeCell ref="F13:F15"/>
    <mergeCell ref="H13:H15"/>
    <mergeCell ref="A1:C7"/>
    <mergeCell ref="L1:W8"/>
    <mergeCell ref="L9:W19"/>
    <mergeCell ref="I13:I15"/>
    <mergeCell ref="G13:G15"/>
    <mergeCell ref="A9:K9"/>
    <mergeCell ref="A10:K10"/>
    <mergeCell ref="J13:J15"/>
    <mergeCell ref="K13:K15"/>
    <mergeCell ref="A13:A15"/>
    <mergeCell ref="B13:B15"/>
    <mergeCell ref="C13:C15"/>
    <mergeCell ref="E13:E15"/>
    <mergeCell ref="AF13:AF15"/>
    <mergeCell ref="AG13:AG15"/>
    <mergeCell ref="X9:AG9"/>
    <mergeCell ref="X10:AG10"/>
    <mergeCell ref="X13:X15"/>
    <mergeCell ref="Y13:Y15"/>
    <mergeCell ref="Z13:Z15"/>
    <mergeCell ref="AA13:AA15"/>
    <mergeCell ref="AB13:AB15"/>
    <mergeCell ref="AC13:AC15"/>
    <mergeCell ref="AD13:AD15"/>
    <mergeCell ref="AE13:AE15"/>
  </mergeCells>
  <phoneticPr fontId="2" type="noConversion"/>
  <pageMargins left="0.15" right="0.15" top="0.15" bottom="0.15" header="0" footer="0"/>
  <pageSetup scale="85" orientation="landscape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indexed="8"/>
  </sheetPr>
  <dimension ref="A1:X52"/>
  <sheetViews>
    <sheetView topLeftCell="A3" zoomScale="85" zoomScaleNormal="85" workbookViewId="0">
      <selection activeCell="D29" sqref="D29"/>
    </sheetView>
  </sheetViews>
  <sheetFormatPr defaultRowHeight="12.75" x14ac:dyDescent="0.2"/>
  <cols>
    <col min="1" max="1" width="7.140625" style="14" customWidth="1"/>
    <col min="2" max="2" width="29.5703125" style="14" customWidth="1"/>
    <col min="3" max="3" width="18.85546875" style="17" customWidth="1"/>
    <col min="4" max="4" width="19" style="17" customWidth="1"/>
    <col min="5" max="5" width="14.7109375" style="13" customWidth="1"/>
    <col min="6" max="6" width="9.140625" style="13"/>
    <col min="7" max="7" width="33.85546875" style="13" customWidth="1"/>
    <col min="8" max="8" width="15.140625" style="13" customWidth="1"/>
    <col min="9" max="9" width="11.5703125" style="13" customWidth="1"/>
    <col min="10" max="10" width="9.140625" style="13"/>
    <col min="11" max="11" width="12" style="13" customWidth="1"/>
    <col min="12" max="12" width="9.140625" style="13"/>
    <col min="13" max="13" width="8.140625" style="13" customWidth="1"/>
    <col min="14" max="14" width="9.140625" style="13"/>
    <col min="15" max="15" width="12.28515625" style="13" customWidth="1"/>
    <col min="16" max="16" width="9.140625" style="13"/>
    <col min="17" max="17" width="11.140625" style="13" customWidth="1"/>
    <col min="18" max="20" width="9.140625" style="13"/>
    <col min="21" max="21" width="14.140625" style="13" customWidth="1"/>
    <col min="22" max="22" width="11.42578125" style="13" customWidth="1"/>
    <col min="23" max="16384" width="9.140625" style="13"/>
  </cols>
  <sheetData>
    <row r="1" spans="1:24" x14ac:dyDescent="0.2">
      <c r="A1" s="173"/>
      <c r="B1" s="173"/>
      <c r="C1" s="173"/>
      <c r="J1" s="169" t="s">
        <v>171</v>
      </c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</row>
    <row r="2" spans="1:24" x14ac:dyDescent="0.2">
      <c r="A2" s="173"/>
      <c r="B2" s="173"/>
      <c r="C2" s="173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</row>
    <row r="3" spans="1:24" x14ac:dyDescent="0.2">
      <c r="A3" s="173"/>
      <c r="B3" s="173"/>
      <c r="C3" s="173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</row>
    <row r="4" spans="1:24" x14ac:dyDescent="0.2">
      <c r="A4" s="173"/>
      <c r="B4" s="173"/>
      <c r="C4" s="173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</row>
    <row r="5" spans="1:24" x14ac:dyDescent="0.2">
      <c r="A5" s="173"/>
      <c r="B5" s="173"/>
      <c r="C5" s="173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</row>
    <row r="6" spans="1:24" x14ac:dyDescent="0.2">
      <c r="A6" s="173"/>
      <c r="B6" s="173"/>
      <c r="C6" s="173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/>
      <c r="W6"/>
      <c r="X6"/>
    </row>
    <row r="7" spans="1:24" x14ac:dyDescent="0.2">
      <c r="A7" s="173"/>
      <c r="B7" s="173"/>
      <c r="C7" s="173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/>
      <c r="W7"/>
      <c r="X7"/>
    </row>
    <row r="8" spans="1:24" x14ac:dyDescent="0.2"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/>
      <c r="W8"/>
      <c r="X8"/>
    </row>
    <row r="9" spans="1:24" ht="40.5" customHeight="1" x14ac:dyDescent="0.2">
      <c r="A9" s="145" t="s">
        <v>74</v>
      </c>
      <c r="B9" s="145"/>
      <c r="C9" s="145"/>
      <c r="D9" s="145"/>
      <c r="E9" s="145"/>
      <c r="F9" s="145"/>
      <c r="G9" s="145"/>
      <c r="H9" s="145"/>
      <c r="I9" s="145"/>
      <c r="J9" s="170" t="s">
        <v>172</v>
      </c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/>
      <c r="W9"/>
      <c r="X9"/>
    </row>
    <row r="10" spans="1:24" ht="12.75" customHeight="1" x14ac:dyDescent="0.2">
      <c r="A10" s="174" t="s">
        <v>154</v>
      </c>
      <c r="B10" s="174"/>
      <c r="C10" s="174"/>
      <c r="D10" s="174"/>
      <c r="E10" s="174"/>
      <c r="F10" s="174"/>
      <c r="G10" s="174"/>
      <c r="H10" s="174"/>
      <c r="I10" s="174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/>
      <c r="W10"/>
      <c r="X10"/>
    </row>
    <row r="11" spans="1:24" ht="20.25" customHeight="1" x14ac:dyDescent="0.5">
      <c r="A11" s="19"/>
      <c r="B11" s="36"/>
      <c r="C11" s="38"/>
      <c r="D11" s="38"/>
      <c r="E11" s="39"/>
      <c r="F11" s="39"/>
      <c r="G11" s="19"/>
      <c r="H11" s="19"/>
      <c r="I11" s="19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"/>
    </row>
    <row r="12" spans="1:24" ht="20.25" customHeight="1" x14ac:dyDescent="0.5">
      <c r="B12" s="128" t="s">
        <v>61</v>
      </c>
      <c r="C12" s="128"/>
      <c r="D12" s="128"/>
      <c r="E12" s="128"/>
      <c r="G12" s="128" t="s">
        <v>62</v>
      </c>
      <c r="H12" s="128"/>
      <c r="I12" s="19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"/>
    </row>
    <row r="13" spans="1:24" ht="20.25" customHeight="1" x14ac:dyDescent="0.5">
      <c r="B13" s="175" t="s">
        <v>14</v>
      </c>
      <c r="C13" s="175"/>
      <c r="D13" s="176">
        <v>1.83E-2</v>
      </c>
      <c r="E13" s="176"/>
      <c r="G13" s="87" t="s">
        <v>166</v>
      </c>
      <c r="H13" s="54">
        <v>2575.36</v>
      </c>
      <c r="I13" s="19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"/>
    </row>
    <row r="14" spans="1:24" ht="20.25" customHeight="1" x14ac:dyDescent="0.5">
      <c r="B14" s="175" t="s">
        <v>57</v>
      </c>
      <c r="C14" s="175"/>
      <c r="D14" s="176"/>
      <c r="E14" s="176"/>
      <c r="G14" s="87" t="s">
        <v>72</v>
      </c>
      <c r="H14" s="54">
        <v>150</v>
      </c>
      <c r="I14" s="19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"/>
    </row>
    <row r="15" spans="1:24" ht="20.25" customHeight="1" x14ac:dyDescent="0.5">
      <c r="B15" s="175" t="s">
        <v>8</v>
      </c>
      <c r="C15" s="175"/>
      <c r="D15" s="176">
        <v>63</v>
      </c>
      <c r="E15" s="176"/>
      <c r="G15" s="87" t="s">
        <v>33</v>
      </c>
      <c r="H15" s="54">
        <v>100</v>
      </c>
      <c r="I15" s="19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"/>
    </row>
    <row r="16" spans="1:24" ht="20.25" customHeight="1" x14ac:dyDescent="0.5">
      <c r="B16"/>
      <c r="C16"/>
      <c r="D16"/>
      <c r="E16"/>
      <c r="F16"/>
      <c r="G16"/>
      <c r="H16"/>
      <c r="I16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"/>
    </row>
    <row r="17" spans="1:22" ht="20.25" customHeight="1" x14ac:dyDescent="0.5">
      <c r="B17" s="172" t="s">
        <v>169</v>
      </c>
      <c r="C17" s="172"/>
      <c r="D17" s="172"/>
      <c r="E17" s="172"/>
      <c r="F17" s="39"/>
      <c r="G17" s="128" t="s">
        <v>66</v>
      </c>
      <c r="H17" s="128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"/>
    </row>
    <row r="18" spans="1:22" ht="20.25" customHeight="1" x14ac:dyDescent="0.5">
      <c r="B18" s="88"/>
      <c r="C18" s="84" t="s">
        <v>163</v>
      </c>
      <c r="D18" s="84" t="s">
        <v>162</v>
      </c>
      <c r="E18" s="84" t="s">
        <v>164</v>
      </c>
      <c r="F18" s="42"/>
      <c r="G18" s="87" t="s">
        <v>15</v>
      </c>
      <c r="H18" s="54">
        <v>13081.98</v>
      </c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"/>
    </row>
    <row r="19" spans="1:22" ht="20.25" customHeight="1" x14ac:dyDescent="0.5">
      <c r="B19" s="51" t="s">
        <v>165</v>
      </c>
      <c r="C19" s="54">
        <v>0</v>
      </c>
      <c r="D19" s="54">
        <v>0</v>
      </c>
      <c r="E19" s="53" t="s">
        <v>73</v>
      </c>
      <c r="F19" s="39"/>
      <c r="G19" s="87" t="s">
        <v>58</v>
      </c>
      <c r="H19" s="54">
        <v>239.4</v>
      </c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"/>
    </row>
    <row r="20" spans="1:22" ht="20.25" customHeight="1" x14ac:dyDescent="0.5">
      <c r="B20" s="51" t="s">
        <v>64</v>
      </c>
      <c r="C20" s="54">
        <v>0</v>
      </c>
      <c r="D20" s="54">
        <v>0</v>
      </c>
      <c r="E20" s="53" t="s">
        <v>73</v>
      </c>
      <c r="F20" s="39"/>
      <c r="G20" s="87" t="s">
        <v>68</v>
      </c>
      <c r="H20" s="54">
        <v>0</v>
      </c>
      <c r="J20" s="171" t="s">
        <v>174</v>
      </c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"/>
    </row>
    <row r="21" spans="1:22" ht="20.25" customHeight="1" x14ac:dyDescent="0.5">
      <c r="B21" s="51" t="s">
        <v>63</v>
      </c>
      <c r="C21" s="54">
        <v>0</v>
      </c>
      <c r="D21" s="54">
        <v>0</v>
      </c>
      <c r="E21" s="53" t="s">
        <v>73</v>
      </c>
      <c r="F21" s="39"/>
      <c r="G21" s="87" t="s">
        <v>69</v>
      </c>
      <c r="H21" s="54">
        <v>0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"/>
    </row>
    <row r="22" spans="1:22" ht="20.25" customHeight="1" x14ac:dyDescent="0.5">
      <c r="B22" s="51" t="s">
        <v>65</v>
      </c>
      <c r="C22" s="54">
        <v>0</v>
      </c>
      <c r="D22" s="54">
        <v>0</v>
      </c>
      <c r="E22" s="53" t="s">
        <v>73</v>
      </c>
      <c r="F22" s="39"/>
      <c r="G22" s="87" t="s">
        <v>59</v>
      </c>
      <c r="H22" s="54">
        <v>239.4</v>
      </c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"/>
    </row>
    <row r="23" spans="1:22" ht="20.25" customHeight="1" x14ac:dyDescent="0.5">
      <c r="B23" s="51" t="s">
        <v>167</v>
      </c>
      <c r="C23" s="54">
        <v>0</v>
      </c>
      <c r="D23" s="54">
        <v>0</v>
      </c>
      <c r="E23" s="53" t="s">
        <v>73</v>
      </c>
      <c r="F23" s="39"/>
      <c r="G23" s="87" t="s">
        <v>81</v>
      </c>
      <c r="H23" s="54">
        <v>10256.620000000001</v>
      </c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"/>
    </row>
    <row r="24" spans="1:22" ht="20.25" customHeight="1" x14ac:dyDescent="0.5">
      <c r="B24" s="51" t="s">
        <v>9</v>
      </c>
      <c r="C24" s="54">
        <v>13081.98</v>
      </c>
      <c r="D24" s="54">
        <v>0</v>
      </c>
      <c r="E24" s="54">
        <f>C24+D24</f>
        <v>13081.98</v>
      </c>
      <c r="F24" s="39"/>
      <c r="G24" s="87" t="s">
        <v>82</v>
      </c>
      <c r="H24" s="54">
        <v>4102.6499999999996</v>
      </c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"/>
    </row>
    <row r="25" spans="1:22" ht="20.25" customHeight="1" x14ac:dyDescent="0.5">
      <c r="B25" s="51" t="s">
        <v>5</v>
      </c>
      <c r="C25" s="54">
        <v>239.4</v>
      </c>
      <c r="D25" s="54">
        <v>0</v>
      </c>
      <c r="E25" s="54">
        <f>C25+D25</f>
        <v>239.4</v>
      </c>
      <c r="F25" s="39"/>
      <c r="G25" s="87" t="s">
        <v>60</v>
      </c>
      <c r="H25" s="54">
        <v>40</v>
      </c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"/>
    </row>
    <row r="26" spans="1:22" ht="20.25" customHeight="1" x14ac:dyDescent="0.5">
      <c r="B26" s="51" t="s">
        <v>70</v>
      </c>
      <c r="C26" s="54">
        <v>0</v>
      </c>
      <c r="D26" s="54">
        <v>0</v>
      </c>
      <c r="E26" s="53" t="s">
        <v>73</v>
      </c>
      <c r="F26" s="39"/>
      <c r="G26" s="19"/>
      <c r="H26" s="19"/>
      <c r="I26" s="19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"/>
    </row>
    <row r="27" spans="1:22" ht="20.25" customHeight="1" x14ac:dyDescent="0.5">
      <c r="B27" s="172" t="s">
        <v>168</v>
      </c>
      <c r="C27" s="172"/>
      <c r="D27" s="172"/>
      <c r="E27" s="172"/>
      <c r="F27" s="39"/>
      <c r="G27" s="19"/>
      <c r="H27" s="19"/>
      <c r="I27" s="19"/>
      <c r="J27" s="19"/>
      <c r="K27" s="19"/>
      <c r="L27" s="19"/>
      <c r="M27" s="36"/>
      <c r="N27" s="36"/>
      <c r="O27" s="8"/>
      <c r="P27" s="8"/>
      <c r="Q27" s="18"/>
      <c r="R27" s="18"/>
      <c r="S27" s="1"/>
      <c r="T27" s="1"/>
      <c r="U27" s="2"/>
      <c r="V27" s="1"/>
    </row>
    <row r="28" spans="1:22" ht="20.25" customHeight="1" x14ac:dyDescent="0.5">
      <c r="B28" s="51" t="s">
        <v>67</v>
      </c>
      <c r="C28" s="89">
        <v>0</v>
      </c>
      <c r="D28" s="89">
        <v>0</v>
      </c>
      <c r="E28" s="90" t="s">
        <v>73</v>
      </c>
      <c r="F28" s="39"/>
      <c r="G28" s="19" t="s">
        <v>18</v>
      </c>
      <c r="H28" s="19"/>
      <c r="I28" s="19"/>
      <c r="J28" s="19"/>
      <c r="K28" s="19"/>
      <c r="L28" s="19"/>
      <c r="M28" s="36"/>
      <c r="N28" s="36"/>
      <c r="O28" s="8"/>
      <c r="P28" s="8"/>
      <c r="Q28" s="18"/>
      <c r="R28" s="18"/>
      <c r="S28" s="1"/>
      <c r="T28" s="1"/>
      <c r="U28" s="2"/>
      <c r="V28" s="1"/>
    </row>
    <row r="29" spans="1:22" ht="20.25" customHeight="1" x14ac:dyDescent="0.5">
      <c r="B29" s="51" t="s">
        <v>71</v>
      </c>
      <c r="C29" s="89">
        <v>0</v>
      </c>
      <c r="D29" s="89">
        <v>0</v>
      </c>
      <c r="E29" s="89">
        <f>C29+D29</f>
        <v>0</v>
      </c>
      <c r="F29" s="39"/>
      <c r="G29" s="19"/>
      <c r="H29" s="19"/>
      <c r="I29" s="19"/>
      <c r="J29" s="19"/>
      <c r="K29" s="19"/>
      <c r="L29" s="19"/>
      <c r="M29" s="36"/>
      <c r="N29" s="36"/>
      <c r="O29" s="8"/>
      <c r="P29" s="8"/>
      <c r="Q29" s="18"/>
      <c r="R29" s="18"/>
      <c r="S29" s="1"/>
      <c r="T29" s="1"/>
      <c r="U29" s="2"/>
      <c r="V29" s="1"/>
    </row>
    <row r="30" spans="1:22" ht="20.25" customHeight="1" x14ac:dyDescent="0.5">
      <c r="B30" s="51" t="s">
        <v>70</v>
      </c>
      <c r="C30" s="89">
        <v>0</v>
      </c>
      <c r="D30" s="89">
        <v>0</v>
      </c>
      <c r="E30" s="90" t="s">
        <v>73</v>
      </c>
      <c r="F30" s="39"/>
      <c r="G30" s="19"/>
      <c r="H30" s="19"/>
      <c r="I30" s="19"/>
      <c r="J30" s="19"/>
      <c r="K30" s="19"/>
      <c r="L30" s="19"/>
      <c r="M30" s="36"/>
      <c r="N30" s="36"/>
      <c r="O30" s="8"/>
      <c r="P30" s="8"/>
      <c r="Q30" s="18"/>
      <c r="R30" s="18"/>
      <c r="S30" s="1"/>
      <c r="T30" s="1"/>
      <c r="U30" s="2"/>
      <c r="V30" s="1"/>
    </row>
    <row r="31" spans="1:22" ht="22.5" customHeight="1" x14ac:dyDescent="0.5">
      <c r="A31" s="35"/>
      <c r="B31" s="35"/>
      <c r="C31" s="40"/>
      <c r="D31" s="40"/>
      <c r="E31" s="41"/>
      <c r="F31" s="41"/>
      <c r="G31" s="34"/>
      <c r="H31" s="34"/>
      <c r="I31" s="34"/>
      <c r="J31" s="34"/>
      <c r="K31" s="34"/>
      <c r="L31" s="34"/>
      <c r="M31" s="35"/>
      <c r="N31" s="35"/>
      <c r="O31" s="16"/>
      <c r="P31" s="16"/>
      <c r="Q31" s="9"/>
      <c r="R31" s="9"/>
      <c r="S31" s="15"/>
      <c r="T31" s="15"/>
    </row>
    <row r="32" spans="1:22" customFormat="1" ht="49.5" customHeigh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ht="40.5" customHeigh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</sheetData>
  <mergeCells count="17">
    <mergeCell ref="B27:E27"/>
    <mergeCell ref="G17:H17"/>
    <mergeCell ref="G12:H12"/>
    <mergeCell ref="A9:I9"/>
    <mergeCell ref="A10:I10"/>
    <mergeCell ref="B13:C13"/>
    <mergeCell ref="B14:C14"/>
    <mergeCell ref="B15:C15"/>
    <mergeCell ref="D13:E13"/>
    <mergeCell ref="D14:E14"/>
    <mergeCell ref="D15:E15"/>
    <mergeCell ref="B12:E12"/>
    <mergeCell ref="J1:U8"/>
    <mergeCell ref="J9:U19"/>
    <mergeCell ref="J20:U26"/>
    <mergeCell ref="B17:E17"/>
    <mergeCell ref="A1:C7"/>
  </mergeCells>
  <phoneticPr fontId="2" type="noConversion"/>
  <pageMargins left="0.15" right="0.15" top="0.15" bottom="0.15" header="0" footer="0"/>
  <pageSetup scale="85" orientation="landscape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6" tint="0.59999389629810485"/>
  </sheetPr>
  <dimension ref="A1:K65"/>
  <sheetViews>
    <sheetView zoomScaleNormal="100" workbookViewId="0">
      <selection activeCell="A9" sqref="A9:K10"/>
    </sheetView>
  </sheetViews>
  <sheetFormatPr defaultRowHeight="12.75" x14ac:dyDescent="0.2"/>
  <cols>
    <col min="1" max="1" width="7.85546875" style="2" customWidth="1"/>
    <col min="2" max="2" width="15.85546875" style="3" customWidth="1"/>
    <col min="3" max="3" width="11.7109375" style="3" customWidth="1"/>
    <col min="4" max="4" width="9.85546875" style="3" customWidth="1"/>
    <col min="5" max="5" width="3" style="3" customWidth="1"/>
    <col min="6" max="6" width="9.85546875" style="3" customWidth="1"/>
    <col min="7" max="7" width="11.7109375" style="3" customWidth="1"/>
    <col min="8" max="8" width="7.85546875" style="45" customWidth="1"/>
    <col min="9" max="9" width="17.5703125" style="45" customWidth="1"/>
    <col min="10" max="10" width="12.7109375" style="2" customWidth="1"/>
    <col min="11" max="11" width="16.5703125" style="2" customWidth="1"/>
    <col min="12" max="16384" width="9.140625" style="2"/>
  </cols>
  <sheetData>
    <row r="1" spans="1:11" x14ac:dyDescent="0.2">
      <c r="A1" s="157"/>
      <c r="B1" s="157"/>
      <c r="C1" s="157"/>
      <c r="D1"/>
      <c r="E1"/>
      <c r="F1"/>
      <c r="G1"/>
      <c r="H1" s="2"/>
      <c r="I1" s="2"/>
    </row>
    <row r="2" spans="1:11" x14ac:dyDescent="0.2">
      <c r="A2" s="157"/>
      <c r="B2" s="157"/>
      <c r="C2" s="157"/>
      <c r="D2"/>
      <c r="E2"/>
      <c r="F2"/>
      <c r="G2"/>
      <c r="H2" s="2"/>
      <c r="I2" s="2"/>
    </row>
    <row r="3" spans="1:11" x14ac:dyDescent="0.2">
      <c r="A3" s="157"/>
      <c r="B3" s="157"/>
      <c r="C3" s="157"/>
      <c r="D3"/>
      <c r="E3"/>
      <c r="F3"/>
      <c r="G3"/>
      <c r="H3" s="2"/>
      <c r="I3" s="2"/>
    </row>
    <row r="4" spans="1:11" x14ac:dyDescent="0.2">
      <c r="A4" s="157"/>
      <c r="B4" s="157"/>
      <c r="C4" s="157"/>
      <c r="D4"/>
      <c r="E4"/>
      <c r="F4"/>
      <c r="G4"/>
      <c r="H4" s="2"/>
      <c r="I4" s="2"/>
    </row>
    <row r="5" spans="1:11" x14ac:dyDescent="0.2">
      <c r="A5" s="157"/>
      <c r="B5" s="157"/>
      <c r="C5" s="157"/>
      <c r="D5"/>
      <c r="E5"/>
      <c r="F5"/>
      <c r="G5"/>
      <c r="H5" s="2"/>
      <c r="I5" s="2"/>
    </row>
    <row r="6" spans="1:11" x14ac:dyDescent="0.2">
      <c r="A6" s="157"/>
      <c r="B6" s="157"/>
      <c r="C6" s="157"/>
      <c r="D6"/>
      <c r="E6"/>
      <c r="F6"/>
      <c r="G6"/>
      <c r="H6" s="2"/>
      <c r="I6" s="2"/>
    </row>
    <row r="7" spans="1:11" x14ac:dyDescent="0.2">
      <c r="A7" s="157"/>
      <c r="B7" s="157"/>
      <c r="C7" s="157"/>
      <c r="D7"/>
      <c r="E7"/>
      <c r="F7"/>
      <c r="G7"/>
      <c r="H7" s="2"/>
      <c r="I7" s="2"/>
    </row>
    <row r="8" spans="1:11" x14ac:dyDescent="0.2">
      <c r="A8"/>
      <c r="B8"/>
      <c r="C8"/>
      <c r="D8"/>
      <c r="E8"/>
      <c r="F8"/>
      <c r="G8"/>
      <c r="H8" s="2"/>
      <c r="I8" s="2"/>
    </row>
    <row r="9" spans="1:11" ht="12.75" customHeight="1" x14ac:dyDescent="0.2">
      <c r="A9" s="145" t="s">
        <v>190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</row>
    <row r="10" spans="1:11" ht="28.5" customHeight="1" x14ac:dyDescent="0.2">
      <c r="A10" s="145"/>
      <c r="B10" s="145"/>
      <c r="C10" s="145"/>
      <c r="D10" s="145"/>
      <c r="E10" s="145"/>
      <c r="F10" s="145"/>
      <c r="G10" s="145"/>
      <c r="H10" s="145"/>
      <c r="I10" s="145"/>
      <c r="J10" s="145"/>
      <c r="K10" s="145"/>
    </row>
    <row r="11" spans="1:11" ht="14.25" x14ac:dyDescent="0.2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3" spans="1:11" s="28" customFormat="1" ht="14.25" x14ac:dyDescent="0.2">
      <c r="A13" s="108" t="s">
        <v>52</v>
      </c>
      <c r="B13" s="108" t="s">
        <v>157</v>
      </c>
      <c r="C13" s="178" t="s">
        <v>7</v>
      </c>
      <c r="D13" s="178"/>
      <c r="E13" s="178"/>
      <c r="F13" s="178"/>
      <c r="G13" s="178"/>
      <c r="H13" s="178"/>
      <c r="I13" s="178"/>
      <c r="J13" s="108" t="s">
        <v>158</v>
      </c>
      <c r="K13" s="108" t="s">
        <v>159</v>
      </c>
    </row>
    <row r="14" spans="1:11" x14ac:dyDescent="0.2">
      <c r="A14" s="76">
        <f>'Equip. Info-DO NOT DELETE'!A40</f>
        <v>0</v>
      </c>
      <c r="B14" s="77">
        <f>'Equip. Info-DO NOT DELETE'!E40</f>
        <v>0</v>
      </c>
      <c r="C14" s="175" t="str">
        <f>'Equip. Info-DO NOT DELETE'!B40 &amp;" "&amp; 'Equip. Info-DO NOT DELETE'!C40 &amp;" "&amp; 'Equip. Info-DO NOT DELETE'!F40</f>
        <v xml:space="preserve">  </v>
      </c>
      <c r="D14" s="175"/>
      <c r="E14" s="175"/>
      <c r="F14" s="175"/>
      <c r="G14" s="175"/>
      <c r="H14" s="175"/>
      <c r="I14" s="175"/>
      <c r="J14" s="81"/>
      <c r="K14" s="81"/>
    </row>
    <row r="15" spans="1:11" x14ac:dyDescent="0.2">
      <c r="A15" s="78">
        <f>'Equip. Info-DO NOT DELETE'!A41</f>
        <v>0</v>
      </c>
      <c r="B15" s="79">
        <f>'Equip. Info-DO NOT DELETE'!E41</f>
        <v>0</v>
      </c>
      <c r="C15" s="177" t="str">
        <f>'Equip. Info-DO NOT DELETE'!B41 &amp;" "&amp; 'Equip. Info-DO NOT DELETE'!F41 &amp;" "&amp; 'Equip. Info-DO NOT DELETE'!C41</f>
        <v xml:space="preserve">  </v>
      </c>
      <c r="D15" s="177"/>
      <c r="E15" s="177"/>
      <c r="F15" s="177"/>
      <c r="G15" s="177"/>
      <c r="H15" s="177"/>
      <c r="I15" s="177"/>
      <c r="J15" s="55"/>
      <c r="K15" s="55"/>
    </row>
    <row r="16" spans="1:11" x14ac:dyDescent="0.2">
      <c r="A16" s="76">
        <f>'Equip. Info-DO NOT DELETE'!A42</f>
        <v>0</v>
      </c>
      <c r="B16" s="77">
        <f>'Equip. Info-DO NOT DELETE'!E42</f>
        <v>0</v>
      </c>
      <c r="C16" s="175" t="str">
        <f>'Equip. Info-DO NOT DELETE'!B42 &amp;" "&amp; 'Equip. Info-DO NOT DELETE'!C42 &amp;" "&amp; 'Equip. Info-DO NOT DELETE'!F42</f>
        <v xml:space="preserve">  </v>
      </c>
      <c r="D16" s="175"/>
      <c r="E16" s="175"/>
      <c r="F16" s="175"/>
      <c r="G16" s="175"/>
      <c r="H16" s="175"/>
      <c r="I16" s="175"/>
      <c r="J16" s="81"/>
      <c r="K16" s="81"/>
    </row>
    <row r="17" spans="1:11" x14ac:dyDescent="0.2">
      <c r="A17" s="78">
        <f>'Equip. Info-DO NOT DELETE'!A43</f>
        <v>0</v>
      </c>
      <c r="B17" s="79">
        <f>'Equip. Info-DO NOT DELETE'!E43</f>
        <v>0</v>
      </c>
      <c r="C17" s="177" t="str">
        <f>'Equip. Info-DO NOT DELETE'!B43 &amp;" "&amp; 'Equip. Info-DO NOT DELETE'!F43 &amp;" "&amp; 'Equip. Info-DO NOT DELETE'!C43</f>
        <v xml:space="preserve">  </v>
      </c>
      <c r="D17" s="177"/>
      <c r="E17" s="177"/>
      <c r="F17" s="177"/>
      <c r="G17" s="177"/>
      <c r="H17" s="177"/>
      <c r="I17" s="177"/>
      <c r="J17" s="55"/>
      <c r="K17" s="55"/>
    </row>
    <row r="18" spans="1:11" x14ac:dyDescent="0.2">
      <c r="A18" s="76">
        <f>'Equip. Info-DO NOT DELETE'!A44</f>
        <v>0</v>
      </c>
      <c r="B18" s="77">
        <f>'Equip. Info-DO NOT DELETE'!E44</f>
        <v>0</v>
      </c>
      <c r="C18" s="175" t="str">
        <f>'Equip. Info-DO NOT DELETE'!B44 &amp;" "&amp; 'Equip. Info-DO NOT DELETE'!C44 &amp;" "&amp; 'Equip. Info-DO NOT DELETE'!F44</f>
        <v xml:space="preserve">  </v>
      </c>
      <c r="D18" s="175"/>
      <c r="E18" s="175"/>
      <c r="F18" s="175"/>
      <c r="G18" s="175"/>
      <c r="H18" s="175"/>
      <c r="I18" s="175"/>
      <c r="J18" s="81"/>
      <c r="K18" s="81"/>
    </row>
    <row r="19" spans="1:11" x14ac:dyDescent="0.2">
      <c r="A19" s="78">
        <f>'Equip. Info-DO NOT DELETE'!A45</f>
        <v>0</v>
      </c>
      <c r="B19" s="79">
        <f>'Equip. Info-DO NOT DELETE'!E45</f>
        <v>0</v>
      </c>
      <c r="C19" s="177" t="str">
        <f>'Equip. Info-DO NOT DELETE'!B45 &amp;" "&amp; 'Equip. Info-DO NOT DELETE'!F45 &amp;" "&amp; 'Equip. Info-DO NOT DELETE'!C45</f>
        <v xml:space="preserve">  </v>
      </c>
      <c r="D19" s="177"/>
      <c r="E19" s="177"/>
      <c r="F19" s="177"/>
      <c r="G19" s="177"/>
      <c r="H19" s="177"/>
      <c r="I19" s="177"/>
      <c r="J19" s="55"/>
      <c r="K19" s="55"/>
    </row>
    <row r="20" spans="1:11" x14ac:dyDescent="0.2">
      <c r="A20" s="76">
        <f>'Equip. Info-DO NOT DELETE'!A46</f>
        <v>0</v>
      </c>
      <c r="B20" s="77">
        <f>'Equip. Info-DO NOT DELETE'!E46</f>
        <v>0</v>
      </c>
      <c r="C20" s="175" t="str">
        <f>'Equip. Info-DO NOT DELETE'!B46 &amp;" "&amp; 'Equip. Info-DO NOT DELETE'!C46 &amp;" "&amp; 'Equip. Info-DO NOT DELETE'!F46</f>
        <v xml:space="preserve">  </v>
      </c>
      <c r="D20" s="175"/>
      <c r="E20" s="175"/>
      <c r="F20" s="175"/>
      <c r="G20" s="175"/>
      <c r="H20" s="175"/>
      <c r="I20" s="175"/>
      <c r="J20" s="81"/>
      <c r="K20" s="81"/>
    </row>
    <row r="21" spans="1:11" x14ac:dyDescent="0.2">
      <c r="A21" s="78">
        <f>'Equip. Info-DO NOT DELETE'!A47</f>
        <v>0</v>
      </c>
      <c r="B21" s="79">
        <f>'Equip. Info-DO NOT DELETE'!E47</f>
        <v>0</v>
      </c>
      <c r="C21" s="177" t="str">
        <f>'Equip. Info-DO NOT DELETE'!B47 &amp;" "&amp; 'Equip. Info-DO NOT DELETE'!F47 &amp;" "&amp; 'Equip. Info-DO NOT DELETE'!C47</f>
        <v xml:space="preserve">  </v>
      </c>
      <c r="D21" s="177"/>
      <c r="E21" s="177"/>
      <c r="F21" s="177"/>
      <c r="G21" s="177"/>
      <c r="H21" s="177"/>
      <c r="I21" s="177"/>
      <c r="J21" s="55"/>
      <c r="K21" s="55"/>
    </row>
    <row r="22" spans="1:11" x14ac:dyDescent="0.2">
      <c r="A22" s="76">
        <f>'Equip. Info-DO NOT DELETE'!A48</f>
        <v>0</v>
      </c>
      <c r="B22" s="77">
        <f>'Equip. Info-DO NOT DELETE'!E48</f>
        <v>0</v>
      </c>
      <c r="C22" s="175" t="str">
        <f>'Equip. Info-DO NOT DELETE'!B48 &amp;" "&amp; 'Equip. Info-DO NOT DELETE'!C48 &amp;" "&amp; 'Equip. Info-DO NOT DELETE'!F48</f>
        <v xml:space="preserve">  </v>
      </c>
      <c r="D22" s="175"/>
      <c r="E22" s="175"/>
      <c r="F22" s="175"/>
      <c r="G22" s="175"/>
      <c r="H22" s="175"/>
      <c r="I22" s="175"/>
      <c r="J22" s="81"/>
      <c r="K22" s="81"/>
    </row>
    <row r="23" spans="1:11" x14ac:dyDescent="0.2">
      <c r="A23" s="78">
        <f>'Equip. Info-DO NOT DELETE'!A49</f>
        <v>0</v>
      </c>
      <c r="B23" s="79">
        <f>'Equip. Info-DO NOT DELETE'!E49</f>
        <v>0</v>
      </c>
      <c r="C23" s="177" t="str">
        <f>'Equip. Info-DO NOT DELETE'!B49 &amp;" "&amp; 'Equip. Info-DO NOT DELETE'!F49 &amp;" "&amp; 'Equip. Info-DO NOT DELETE'!C49</f>
        <v xml:space="preserve">  </v>
      </c>
      <c r="D23" s="177"/>
      <c r="E23" s="177"/>
      <c r="F23" s="177"/>
      <c r="G23" s="177"/>
      <c r="H23" s="177"/>
      <c r="I23" s="177"/>
      <c r="J23" s="55"/>
      <c r="K23" s="55"/>
    </row>
    <row r="24" spans="1:11" x14ac:dyDescent="0.2">
      <c r="A24" s="76">
        <f>'Equip. Info-DO NOT DELETE'!A50</f>
        <v>0</v>
      </c>
      <c r="B24" s="77">
        <f>'Equip. Info-DO NOT DELETE'!E50</f>
        <v>0</v>
      </c>
      <c r="C24" s="175" t="str">
        <f>'Equip. Info-DO NOT DELETE'!B50 &amp;" "&amp; 'Equip. Info-DO NOT DELETE'!C50 &amp;" "&amp; 'Equip. Info-DO NOT DELETE'!F50</f>
        <v xml:space="preserve">  </v>
      </c>
      <c r="D24" s="175"/>
      <c r="E24" s="175"/>
      <c r="F24" s="175"/>
      <c r="G24" s="175"/>
      <c r="H24" s="175"/>
      <c r="I24" s="175"/>
      <c r="J24" s="81"/>
      <c r="K24" s="81"/>
    </row>
    <row r="25" spans="1:11" x14ac:dyDescent="0.2">
      <c r="A25" s="78">
        <f>'Equip. Info-DO NOT DELETE'!A51</f>
        <v>0</v>
      </c>
      <c r="B25" s="79">
        <f>'Equip. Info-DO NOT DELETE'!E51</f>
        <v>0</v>
      </c>
      <c r="C25" s="177" t="str">
        <f>'Equip. Info-DO NOT DELETE'!B51 &amp;" "&amp; 'Equip. Info-DO NOT DELETE'!F51 &amp;" "&amp; 'Equip. Info-DO NOT DELETE'!C51</f>
        <v xml:space="preserve">  </v>
      </c>
      <c r="D25" s="177"/>
      <c r="E25" s="177"/>
      <c r="F25" s="177"/>
      <c r="G25" s="177"/>
      <c r="H25" s="177"/>
      <c r="I25" s="177"/>
      <c r="J25" s="55"/>
      <c r="K25" s="55"/>
    </row>
    <row r="26" spans="1:11" x14ac:dyDescent="0.2">
      <c r="A26" s="76">
        <f>'Equip. Info-DO NOT DELETE'!A52</f>
        <v>0</v>
      </c>
      <c r="B26" s="77">
        <f>'Equip. Info-DO NOT DELETE'!E52</f>
        <v>0</v>
      </c>
      <c r="C26" s="175" t="str">
        <f>'Equip. Info-DO NOT DELETE'!B52 &amp;" "&amp; 'Equip. Info-DO NOT DELETE'!C52 &amp;" "&amp; 'Equip. Info-DO NOT DELETE'!F52</f>
        <v xml:space="preserve">  </v>
      </c>
      <c r="D26" s="175"/>
      <c r="E26" s="175"/>
      <c r="F26" s="175"/>
      <c r="G26" s="175"/>
      <c r="H26" s="175"/>
      <c r="I26" s="175"/>
      <c r="J26" s="81"/>
      <c r="K26" s="81"/>
    </row>
    <row r="27" spans="1:11" x14ac:dyDescent="0.2">
      <c r="A27" s="78">
        <f>'Equip. Info-DO NOT DELETE'!A53</f>
        <v>0</v>
      </c>
      <c r="B27" s="79">
        <f>'Equip. Info-DO NOT DELETE'!E53</f>
        <v>0</v>
      </c>
      <c r="C27" s="177" t="str">
        <f>'Equip. Info-DO NOT DELETE'!B53 &amp;" "&amp; 'Equip. Info-DO NOT DELETE'!F53 &amp;" "&amp; 'Equip. Info-DO NOT DELETE'!C53</f>
        <v xml:space="preserve">  </v>
      </c>
      <c r="D27" s="177"/>
      <c r="E27" s="177"/>
      <c r="F27" s="177"/>
      <c r="G27" s="177"/>
      <c r="H27" s="177"/>
      <c r="I27" s="177"/>
      <c r="J27" s="55"/>
      <c r="K27" s="55"/>
    </row>
    <row r="28" spans="1:11" x14ac:dyDescent="0.2">
      <c r="A28" s="76">
        <f>'Equip. Info-DO NOT DELETE'!A54</f>
        <v>0</v>
      </c>
      <c r="B28" s="77">
        <f>'Equip. Info-DO NOT DELETE'!E54</f>
        <v>0</v>
      </c>
      <c r="C28" s="175" t="str">
        <f>'Equip. Info-DO NOT DELETE'!B54 &amp;" "&amp; 'Equip. Info-DO NOT DELETE'!C54 &amp;" "&amp; 'Equip. Info-DO NOT DELETE'!F54</f>
        <v xml:space="preserve">  </v>
      </c>
      <c r="D28" s="175"/>
      <c r="E28" s="175"/>
      <c r="F28" s="175"/>
      <c r="G28" s="175"/>
      <c r="H28" s="175"/>
      <c r="I28" s="175"/>
      <c r="J28" s="81"/>
      <c r="K28" s="81"/>
    </row>
    <row r="29" spans="1:11" x14ac:dyDescent="0.2">
      <c r="A29" s="78">
        <f>'Equip. Info-DO NOT DELETE'!A55</f>
        <v>0</v>
      </c>
      <c r="B29" s="79">
        <f>'Equip. Info-DO NOT DELETE'!E55</f>
        <v>0</v>
      </c>
      <c r="C29" s="177" t="str">
        <f>'Equip. Info-DO NOT DELETE'!B55 &amp;" "&amp; 'Equip. Info-DO NOT DELETE'!F55 &amp;" "&amp; 'Equip. Info-DO NOT DELETE'!C55</f>
        <v xml:space="preserve">  </v>
      </c>
      <c r="D29" s="177"/>
      <c r="E29" s="177"/>
      <c r="F29" s="177"/>
      <c r="G29" s="177"/>
      <c r="H29" s="177"/>
      <c r="I29" s="177"/>
      <c r="J29" s="55"/>
      <c r="K29" s="55"/>
    </row>
    <row r="30" spans="1:11" x14ac:dyDescent="0.2">
      <c r="A30" s="76">
        <f>'Equip. Info-DO NOT DELETE'!A56</f>
        <v>0</v>
      </c>
      <c r="B30" s="77">
        <f>'Equip. Info-DO NOT DELETE'!E56</f>
        <v>0</v>
      </c>
      <c r="C30" s="175" t="str">
        <f>'Equip. Info-DO NOT DELETE'!B56 &amp;" "&amp; 'Equip. Info-DO NOT DELETE'!C56 &amp;" "&amp; 'Equip. Info-DO NOT DELETE'!F56</f>
        <v xml:space="preserve">  </v>
      </c>
      <c r="D30" s="175"/>
      <c r="E30" s="175"/>
      <c r="F30" s="175"/>
      <c r="G30" s="175"/>
      <c r="H30" s="175"/>
      <c r="I30" s="175"/>
      <c r="J30" s="81"/>
      <c r="K30" s="81"/>
    </row>
    <row r="31" spans="1:11" x14ac:dyDescent="0.2">
      <c r="A31" s="78">
        <f>'Equip. Info-DO NOT DELETE'!A57</f>
        <v>0</v>
      </c>
      <c r="B31" s="79">
        <f>'Equip. Info-DO NOT DELETE'!E57</f>
        <v>0</v>
      </c>
      <c r="C31" s="177" t="str">
        <f>'Equip. Info-DO NOT DELETE'!B57 &amp;" "&amp; 'Equip. Info-DO NOT DELETE'!F57 &amp;" "&amp; 'Equip. Info-DO NOT DELETE'!C57</f>
        <v xml:space="preserve">  </v>
      </c>
      <c r="D31" s="177"/>
      <c r="E31" s="177"/>
      <c r="F31" s="177"/>
      <c r="G31" s="177"/>
      <c r="H31" s="177"/>
      <c r="I31" s="177"/>
      <c r="J31" s="55"/>
      <c r="K31" s="55"/>
    </row>
    <row r="32" spans="1:11" x14ac:dyDescent="0.2">
      <c r="A32" s="76">
        <f>'Equip. Info-DO NOT DELETE'!A58</f>
        <v>0</v>
      </c>
      <c r="B32" s="77">
        <f>'Equip. Info-DO NOT DELETE'!E58</f>
        <v>0</v>
      </c>
      <c r="C32" s="175" t="str">
        <f>'Equip. Info-DO NOT DELETE'!B58 &amp;" "&amp; 'Equip. Info-DO NOT DELETE'!C58 &amp;" "&amp; 'Equip. Info-DO NOT DELETE'!F58</f>
        <v xml:space="preserve">  </v>
      </c>
      <c r="D32" s="175"/>
      <c r="E32" s="175"/>
      <c r="F32" s="175"/>
      <c r="G32" s="175"/>
      <c r="H32" s="175"/>
      <c r="I32" s="175"/>
      <c r="J32" s="81"/>
      <c r="K32" s="81"/>
    </row>
    <row r="33" spans="1:11" x14ac:dyDescent="0.2">
      <c r="A33" s="78">
        <f>'Equip. Info-DO NOT DELETE'!A59</f>
        <v>0</v>
      </c>
      <c r="B33" s="79">
        <f>'Equip. Info-DO NOT DELETE'!E59</f>
        <v>0</v>
      </c>
      <c r="C33" s="177" t="str">
        <f>'Equip. Info-DO NOT DELETE'!B59 &amp;" "&amp; 'Equip. Info-DO NOT DELETE'!F59 &amp;" "&amp; 'Equip. Info-DO NOT DELETE'!C59</f>
        <v xml:space="preserve">  </v>
      </c>
      <c r="D33" s="177"/>
      <c r="E33" s="177"/>
      <c r="F33" s="177"/>
      <c r="G33" s="177"/>
      <c r="H33" s="177"/>
      <c r="I33" s="177"/>
      <c r="J33" s="55"/>
      <c r="K33" s="55"/>
    </row>
    <row r="34" spans="1:11" x14ac:dyDescent="0.2">
      <c r="A34" s="76">
        <f>'Equip. Info-DO NOT DELETE'!A60</f>
        <v>0</v>
      </c>
      <c r="B34" s="77">
        <f>'Equip. Info-DO NOT DELETE'!E60</f>
        <v>0</v>
      </c>
      <c r="C34" s="175" t="str">
        <f>'Equip. Info-DO NOT DELETE'!B60 &amp;" "&amp; 'Equip. Info-DO NOT DELETE'!C60 &amp;" "&amp; 'Equip. Info-DO NOT DELETE'!F60</f>
        <v xml:space="preserve">  </v>
      </c>
      <c r="D34" s="175"/>
      <c r="E34" s="175"/>
      <c r="F34" s="175"/>
      <c r="G34" s="175"/>
      <c r="H34" s="175"/>
      <c r="I34" s="175"/>
      <c r="J34" s="81"/>
      <c r="K34" s="81"/>
    </row>
    <row r="35" spans="1:11" x14ac:dyDescent="0.2">
      <c r="A35" s="78">
        <f>'Equip. Info-DO NOT DELETE'!A61</f>
        <v>0</v>
      </c>
      <c r="B35" s="79">
        <f>'Equip. Info-DO NOT DELETE'!E61</f>
        <v>0</v>
      </c>
      <c r="C35" s="177" t="str">
        <f>'Equip. Info-DO NOT DELETE'!B61 &amp;" "&amp; 'Equip. Info-DO NOT DELETE'!F61 &amp;" "&amp; 'Equip. Info-DO NOT DELETE'!C61</f>
        <v xml:space="preserve">  </v>
      </c>
      <c r="D35" s="177"/>
      <c r="E35" s="177"/>
      <c r="F35" s="177"/>
      <c r="G35" s="177"/>
      <c r="H35" s="177"/>
      <c r="I35" s="177"/>
      <c r="J35" s="55"/>
      <c r="K35" s="55"/>
    </row>
    <row r="36" spans="1:11" x14ac:dyDescent="0.2">
      <c r="A36" s="76">
        <f>'Equip. Info-DO NOT DELETE'!A62</f>
        <v>0</v>
      </c>
      <c r="B36" s="77">
        <f>'Equip. Info-DO NOT DELETE'!E62</f>
        <v>0</v>
      </c>
      <c r="C36" s="175" t="str">
        <f>'Equip. Info-DO NOT DELETE'!B62 &amp;" "&amp; 'Equip. Info-DO NOT DELETE'!C62 &amp;" "&amp; 'Equip. Info-DO NOT DELETE'!F62</f>
        <v xml:space="preserve">  </v>
      </c>
      <c r="D36" s="175"/>
      <c r="E36" s="175"/>
      <c r="F36" s="175"/>
      <c r="G36" s="175"/>
      <c r="H36" s="175"/>
      <c r="I36" s="175"/>
      <c r="J36" s="81"/>
      <c r="K36" s="81"/>
    </row>
    <row r="37" spans="1:11" x14ac:dyDescent="0.2">
      <c r="A37" s="78">
        <f>'Equip. Info-DO NOT DELETE'!A63</f>
        <v>0</v>
      </c>
      <c r="B37" s="79">
        <f>'Equip. Info-DO NOT DELETE'!E63</f>
        <v>0</v>
      </c>
      <c r="C37" s="177" t="str">
        <f>'Equip. Info-DO NOT DELETE'!B63 &amp;" "&amp; 'Equip. Info-DO NOT DELETE'!F63 &amp;" "&amp; 'Equip. Info-DO NOT DELETE'!C63</f>
        <v xml:space="preserve">  </v>
      </c>
      <c r="D37" s="177"/>
      <c r="E37" s="177"/>
      <c r="F37" s="177"/>
      <c r="G37" s="177"/>
      <c r="H37" s="177"/>
      <c r="I37" s="177"/>
      <c r="J37" s="55"/>
      <c r="K37" s="55"/>
    </row>
    <row r="38" spans="1:11" x14ac:dyDescent="0.2">
      <c r="A38" s="76">
        <f>'Equip. Info-DO NOT DELETE'!A64</f>
        <v>0</v>
      </c>
      <c r="B38" s="77">
        <f>'Equip. Info-DO NOT DELETE'!E64</f>
        <v>0</v>
      </c>
      <c r="C38" s="175" t="str">
        <f>'Equip. Info-DO NOT DELETE'!B64 &amp;" "&amp; 'Equip. Info-DO NOT DELETE'!C64 &amp;" "&amp; 'Equip. Info-DO NOT DELETE'!F64</f>
        <v xml:space="preserve">  </v>
      </c>
      <c r="D38" s="175"/>
      <c r="E38" s="175"/>
      <c r="F38" s="175"/>
      <c r="G38" s="175"/>
      <c r="H38" s="175"/>
      <c r="I38" s="175"/>
      <c r="J38" s="81"/>
      <c r="K38" s="81"/>
    </row>
    <row r="39" spans="1:11" x14ac:dyDescent="0.2">
      <c r="A39" s="78">
        <f>'Equip. Info-DO NOT DELETE'!A65</f>
        <v>0</v>
      </c>
      <c r="B39" s="79">
        <f>'Equip. Info-DO NOT DELETE'!E65</f>
        <v>0</v>
      </c>
      <c r="C39" s="177" t="str">
        <f>'Equip. Info-DO NOT DELETE'!B65 &amp;" "&amp; 'Equip. Info-DO NOT DELETE'!F65 &amp;" "&amp; 'Equip. Info-DO NOT DELETE'!C65</f>
        <v xml:space="preserve">  </v>
      </c>
      <c r="D39" s="177"/>
      <c r="E39" s="177"/>
      <c r="F39" s="177"/>
      <c r="G39" s="177"/>
      <c r="H39" s="177"/>
      <c r="I39" s="177"/>
      <c r="J39" s="55"/>
      <c r="K39" s="55"/>
    </row>
    <row r="40" spans="1:11" x14ac:dyDescent="0.2">
      <c r="A40" s="76">
        <f>'Equip. Info-DO NOT DELETE'!A66</f>
        <v>0</v>
      </c>
      <c r="B40" s="77">
        <f>'Equip. Info-DO NOT DELETE'!E66</f>
        <v>0</v>
      </c>
      <c r="C40" s="175" t="str">
        <f>'Equip. Info-DO NOT DELETE'!B66 &amp;" "&amp; 'Equip. Info-DO NOT DELETE'!C66 &amp;" "&amp; 'Equip. Info-DO NOT DELETE'!F66</f>
        <v xml:space="preserve">  </v>
      </c>
      <c r="D40" s="175"/>
      <c r="E40" s="175"/>
      <c r="F40" s="175"/>
      <c r="G40" s="175"/>
      <c r="H40" s="175"/>
      <c r="I40" s="175"/>
      <c r="J40" s="81"/>
      <c r="K40" s="81"/>
    </row>
    <row r="41" spans="1:11" x14ac:dyDescent="0.2">
      <c r="A41" s="78">
        <f>'Equip. Info-DO NOT DELETE'!A67</f>
        <v>0</v>
      </c>
      <c r="B41" s="79">
        <f>'Equip. Info-DO NOT DELETE'!E67</f>
        <v>0</v>
      </c>
      <c r="C41" s="177" t="str">
        <f>'Equip. Info-DO NOT DELETE'!B67 &amp;" "&amp; 'Equip. Info-DO NOT DELETE'!F67 &amp;" "&amp; 'Equip. Info-DO NOT DELETE'!C67</f>
        <v xml:space="preserve">  </v>
      </c>
      <c r="D41" s="177"/>
      <c r="E41" s="177"/>
      <c r="F41" s="177"/>
      <c r="G41" s="177"/>
      <c r="H41" s="177"/>
      <c r="I41" s="177"/>
      <c r="J41" s="55"/>
      <c r="K41" s="55"/>
    </row>
    <row r="42" spans="1:11" x14ac:dyDescent="0.2">
      <c r="A42" s="76">
        <f>'Equip. Info-DO NOT DELETE'!A68</f>
        <v>0</v>
      </c>
      <c r="B42" s="77">
        <f>'Equip. Info-DO NOT DELETE'!E68</f>
        <v>0</v>
      </c>
      <c r="C42" s="175" t="str">
        <f>'Equip. Info-DO NOT DELETE'!B68 &amp;" "&amp; 'Equip. Info-DO NOT DELETE'!C68 &amp;" "&amp; 'Equip. Info-DO NOT DELETE'!F68</f>
        <v xml:space="preserve">  </v>
      </c>
      <c r="D42" s="175"/>
      <c r="E42" s="175"/>
      <c r="F42" s="175"/>
      <c r="G42" s="175"/>
      <c r="H42" s="175"/>
      <c r="I42" s="175"/>
      <c r="J42" s="81"/>
      <c r="K42" s="81"/>
    </row>
    <row r="43" spans="1:11" x14ac:dyDescent="0.2">
      <c r="A43" s="78">
        <f>'Equip. Info-DO NOT DELETE'!A69</f>
        <v>0</v>
      </c>
      <c r="B43" s="79">
        <f>'Equip. Info-DO NOT DELETE'!E69</f>
        <v>0</v>
      </c>
      <c r="C43" s="177" t="str">
        <f>'Equip. Info-DO NOT DELETE'!B69 &amp;" "&amp; 'Equip. Info-DO NOT DELETE'!F69 &amp;" "&amp; 'Equip. Info-DO NOT DELETE'!C69</f>
        <v xml:space="preserve">  </v>
      </c>
      <c r="D43" s="177"/>
      <c r="E43" s="177"/>
      <c r="F43" s="177"/>
      <c r="G43" s="177"/>
      <c r="H43" s="177"/>
      <c r="I43" s="177"/>
      <c r="J43" s="55"/>
      <c r="K43" s="55"/>
    </row>
    <row r="44" spans="1:11" x14ac:dyDescent="0.2">
      <c r="A44" s="76">
        <f>'Equip. Info-DO NOT DELETE'!A70</f>
        <v>0</v>
      </c>
      <c r="B44" s="77">
        <f>'Equip. Info-DO NOT DELETE'!E70</f>
        <v>0</v>
      </c>
      <c r="C44" s="175" t="str">
        <f>'Equip. Info-DO NOT DELETE'!B70 &amp;" "&amp; 'Equip. Info-DO NOT DELETE'!C70 &amp;" "&amp; 'Equip. Info-DO NOT DELETE'!F70</f>
        <v xml:space="preserve">  </v>
      </c>
      <c r="D44" s="175"/>
      <c r="E44" s="175"/>
      <c r="F44" s="175"/>
      <c r="G44" s="175"/>
      <c r="H44" s="175"/>
      <c r="I44" s="175"/>
      <c r="J44" s="81"/>
      <c r="K44" s="81"/>
    </row>
    <row r="45" spans="1:11" x14ac:dyDescent="0.2">
      <c r="A45" s="78">
        <f>'Equip. Info-DO NOT DELETE'!A71</f>
        <v>0</v>
      </c>
      <c r="B45" s="79">
        <f>'Equip. Info-DO NOT DELETE'!E71</f>
        <v>0</v>
      </c>
      <c r="C45" s="177" t="str">
        <f>'Equip. Info-DO NOT DELETE'!B71 &amp;" "&amp; 'Equip. Info-DO NOT DELETE'!F71 &amp;" "&amp; 'Equip. Info-DO NOT DELETE'!C71</f>
        <v xml:space="preserve">  </v>
      </c>
      <c r="D45" s="177"/>
      <c r="E45" s="177"/>
      <c r="F45" s="177"/>
      <c r="G45" s="177"/>
      <c r="H45" s="177"/>
      <c r="I45" s="177"/>
      <c r="J45" s="55"/>
      <c r="K45" s="55"/>
    </row>
    <row r="46" spans="1:11" x14ac:dyDescent="0.2">
      <c r="A46" s="76">
        <f>'Equip. Info-DO NOT DELETE'!A72</f>
        <v>0</v>
      </c>
      <c r="B46" s="77">
        <f>'Equip. Info-DO NOT DELETE'!E72</f>
        <v>0</v>
      </c>
      <c r="C46" s="175" t="str">
        <f>'Equip. Info-DO NOT DELETE'!B72 &amp;" "&amp; 'Equip. Info-DO NOT DELETE'!C72 &amp;" "&amp; 'Equip. Info-DO NOT DELETE'!F72</f>
        <v xml:space="preserve">  </v>
      </c>
      <c r="D46" s="175"/>
      <c r="E46" s="175"/>
      <c r="F46" s="175"/>
      <c r="G46" s="175"/>
      <c r="H46" s="175"/>
      <c r="I46" s="175"/>
      <c r="J46" s="81"/>
      <c r="K46" s="81"/>
    </row>
    <row r="47" spans="1:11" x14ac:dyDescent="0.2">
      <c r="A47" s="78">
        <f>'Equip. Info-DO NOT DELETE'!A73</f>
        <v>0</v>
      </c>
      <c r="B47" s="79">
        <f>'Equip. Info-DO NOT DELETE'!E73</f>
        <v>0</v>
      </c>
      <c r="C47" s="177" t="str">
        <f>'Equip. Info-DO NOT DELETE'!B73 &amp;" "&amp; 'Equip. Info-DO NOT DELETE'!F73 &amp;" "&amp; 'Equip. Info-DO NOT DELETE'!C73</f>
        <v xml:space="preserve">  </v>
      </c>
      <c r="D47" s="177"/>
      <c r="E47" s="177"/>
      <c r="F47" s="177"/>
      <c r="G47" s="177"/>
      <c r="H47" s="177"/>
      <c r="I47" s="177"/>
      <c r="J47" s="55"/>
      <c r="K47" s="55"/>
    </row>
    <row r="48" spans="1:11" x14ac:dyDescent="0.2">
      <c r="A48" s="76">
        <f>'Equip. Info-DO NOT DELETE'!A74</f>
        <v>0</v>
      </c>
      <c r="B48" s="77">
        <f>'Equip. Info-DO NOT DELETE'!E74</f>
        <v>0</v>
      </c>
      <c r="C48" s="175" t="str">
        <f>'Equip. Info-DO NOT DELETE'!B74 &amp;" "&amp; 'Equip. Info-DO NOT DELETE'!C74 &amp;" "&amp; 'Equip. Info-DO NOT DELETE'!F74</f>
        <v xml:space="preserve">  </v>
      </c>
      <c r="D48" s="175"/>
      <c r="E48" s="175"/>
      <c r="F48" s="175"/>
      <c r="G48" s="175"/>
      <c r="H48" s="175"/>
      <c r="I48" s="175"/>
      <c r="J48" s="81"/>
      <c r="K48" s="81"/>
    </row>
    <row r="49" spans="1:11" x14ac:dyDescent="0.2">
      <c r="A49" s="78">
        <f>'Equip. Info-DO NOT DELETE'!A75</f>
        <v>0</v>
      </c>
      <c r="B49" s="79">
        <f>'Equip. Info-DO NOT DELETE'!E75</f>
        <v>0</v>
      </c>
      <c r="C49" s="177" t="str">
        <f>'Equip. Info-DO NOT DELETE'!B75 &amp;" "&amp; 'Equip. Info-DO NOT DELETE'!F75 &amp;" "&amp; 'Equip. Info-DO NOT DELETE'!C75</f>
        <v xml:space="preserve">  </v>
      </c>
      <c r="D49" s="177"/>
      <c r="E49" s="177"/>
      <c r="F49" s="177"/>
      <c r="G49" s="177"/>
      <c r="H49" s="177"/>
      <c r="I49" s="177"/>
      <c r="J49" s="55"/>
      <c r="K49" s="55"/>
    </row>
    <row r="50" spans="1:11" x14ac:dyDescent="0.2">
      <c r="A50" s="76">
        <f>'Equip. Info-DO NOT DELETE'!A76</f>
        <v>0</v>
      </c>
      <c r="B50" s="77">
        <f>'Equip. Info-DO NOT DELETE'!E76</f>
        <v>0</v>
      </c>
      <c r="C50" s="175" t="str">
        <f>'Equip. Info-DO NOT DELETE'!B76 &amp;" "&amp; 'Equip. Info-DO NOT DELETE'!C76 &amp;" "&amp; 'Equip. Info-DO NOT DELETE'!F76</f>
        <v xml:space="preserve">  </v>
      </c>
      <c r="D50" s="175"/>
      <c r="E50" s="175"/>
      <c r="F50" s="175"/>
      <c r="G50" s="175"/>
      <c r="H50" s="175"/>
      <c r="I50" s="175"/>
      <c r="J50" s="81"/>
      <c r="K50" s="81"/>
    </row>
    <row r="51" spans="1:11" x14ac:dyDescent="0.2">
      <c r="A51" s="78">
        <f>'Equip. Info-DO NOT DELETE'!A77</f>
        <v>0</v>
      </c>
      <c r="B51" s="79">
        <f>'Equip. Info-DO NOT DELETE'!E77</f>
        <v>0</v>
      </c>
      <c r="C51" s="177" t="str">
        <f>'Equip. Info-DO NOT DELETE'!B77 &amp;" "&amp; 'Equip. Info-DO NOT DELETE'!F77 &amp;" "&amp; 'Equip. Info-DO NOT DELETE'!C77</f>
        <v xml:space="preserve">  </v>
      </c>
      <c r="D51" s="177"/>
      <c r="E51" s="177"/>
      <c r="F51" s="177"/>
      <c r="G51" s="177"/>
      <c r="H51" s="177"/>
      <c r="I51" s="177"/>
      <c r="J51" s="55"/>
      <c r="K51" s="55"/>
    </row>
    <row r="52" spans="1:11" x14ac:dyDescent="0.2">
      <c r="A52" s="76">
        <f>'Equip. Info-DO NOT DELETE'!A78</f>
        <v>0</v>
      </c>
      <c r="B52" s="77">
        <f>'Equip. Info-DO NOT DELETE'!E78</f>
        <v>0</v>
      </c>
      <c r="C52" s="175" t="str">
        <f>'Equip. Info-DO NOT DELETE'!B78 &amp;" "&amp; 'Equip. Info-DO NOT DELETE'!C78 &amp;" "&amp; 'Equip. Info-DO NOT DELETE'!F78</f>
        <v xml:space="preserve">  </v>
      </c>
      <c r="D52" s="175"/>
      <c r="E52" s="175"/>
      <c r="F52" s="175"/>
      <c r="G52" s="175"/>
      <c r="H52" s="175"/>
      <c r="I52" s="175"/>
      <c r="J52" s="81"/>
      <c r="K52" s="81"/>
    </row>
    <row r="53" spans="1:11" x14ac:dyDescent="0.2">
      <c r="A53" s="78">
        <f>'Equip. Info-DO NOT DELETE'!A79</f>
        <v>0</v>
      </c>
      <c r="B53" s="79">
        <f>'Equip. Info-DO NOT DELETE'!E79</f>
        <v>0</v>
      </c>
      <c r="C53" s="177" t="str">
        <f>'Equip. Info-DO NOT DELETE'!B79 &amp;" "&amp; 'Equip. Info-DO NOT DELETE'!F79 &amp;" "&amp; 'Equip. Info-DO NOT DELETE'!C79</f>
        <v xml:space="preserve">  </v>
      </c>
      <c r="D53" s="177"/>
      <c r="E53" s="177"/>
      <c r="F53" s="177"/>
      <c r="G53" s="177"/>
      <c r="H53" s="177"/>
      <c r="I53" s="177"/>
      <c r="J53" s="55"/>
      <c r="K53" s="55"/>
    </row>
    <row r="54" spans="1:11" x14ac:dyDescent="0.2">
      <c r="A54" s="76">
        <f>'Equip. Info-DO NOT DELETE'!A80</f>
        <v>0</v>
      </c>
      <c r="B54" s="77">
        <f>'Equip. Info-DO NOT DELETE'!E80</f>
        <v>0</v>
      </c>
      <c r="C54" s="175" t="str">
        <f>'Equip. Info-DO NOT DELETE'!B80 &amp;" "&amp; 'Equip. Info-DO NOT DELETE'!C80 &amp;" "&amp; 'Equip. Info-DO NOT DELETE'!F80</f>
        <v xml:space="preserve">  </v>
      </c>
      <c r="D54" s="175"/>
      <c r="E54" s="175"/>
      <c r="F54" s="175"/>
      <c r="G54" s="175"/>
      <c r="H54" s="175"/>
      <c r="I54" s="175"/>
      <c r="J54" s="81"/>
      <c r="K54" s="81"/>
    </row>
    <row r="55" spans="1:11" x14ac:dyDescent="0.2">
      <c r="A55" s="78">
        <f>'Equip. Info-DO NOT DELETE'!A81</f>
        <v>0</v>
      </c>
      <c r="B55" s="79">
        <f>'Equip. Info-DO NOT DELETE'!E81</f>
        <v>0</v>
      </c>
      <c r="C55" s="177" t="str">
        <f>'Equip. Info-DO NOT DELETE'!B81 &amp;" "&amp; 'Equip. Info-DO NOT DELETE'!F81 &amp;" "&amp; 'Equip. Info-DO NOT DELETE'!C81</f>
        <v xml:space="preserve">  </v>
      </c>
      <c r="D55" s="177"/>
      <c r="E55" s="177"/>
      <c r="F55" s="177"/>
      <c r="G55" s="177"/>
      <c r="H55" s="177"/>
      <c r="I55" s="177"/>
      <c r="J55" s="55"/>
      <c r="K55" s="55"/>
    </row>
    <row r="56" spans="1:11" x14ac:dyDescent="0.2">
      <c r="A56" s="76">
        <f>'Equip. Info-DO NOT DELETE'!A82</f>
        <v>0</v>
      </c>
      <c r="B56" s="77">
        <f>'Equip. Info-DO NOT DELETE'!E82</f>
        <v>0</v>
      </c>
      <c r="C56" s="175" t="str">
        <f>'Equip. Info-DO NOT DELETE'!B82 &amp;" "&amp; 'Equip. Info-DO NOT DELETE'!C82 &amp;" "&amp; 'Equip. Info-DO NOT DELETE'!F82</f>
        <v xml:space="preserve">  </v>
      </c>
      <c r="D56" s="175"/>
      <c r="E56" s="175"/>
      <c r="F56" s="175"/>
      <c r="G56" s="175"/>
      <c r="H56" s="175"/>
      <c r="I56" s="175"/>
      <c r="J56" s="81"/>
      <c r="K56" s="81"/>
    </row>
    <row r="57" spans="1:11" x14ac:dyDescent="0.2">
      <c r="A57" s="78">
        <f>'Equip. Info-DO NOT DELETE'!A89</f>
        <v>0</v>
      </c>
      <c r="B57" s="79">
        <f>'Equip. Info-DO NOT DELETE'!E89</f>
        <v>0</v>
      </c>
      <c r="C57" s="177" t="str">
        <f>'Equip. Info-DO NOT DELETE'!B89 &amp;" "&amp; 'Equip. Info-DO NOT DELETE'!F89 &amp;" "&amp; 'Equip. Info-DO NOT DELETE'!C89</f>
        <v xml:space="preserve">  </v>
      </c>
      <c r="D57" s="177"/>
      <c r="E57" s="177"/>
      <c r="F57" s="177"/>
      <c r="G57" s="177"/>
      <c r="H57" s="177"/>
      <c r="I57" s="177"/>
      <c r="J57" s="55"/>
      <c r="K57" s="55"/>
    </row>
    <row r="58" spans="1:11" x14ac:dyDescent="0.2">
      <c r="A58" s="76">
        <f>'Equip. Info-DO NOT DELETE'!A90</f>
        <v>0</v>
      </c>
      <c r="B58" s="77">
        <f>'Equip. Info-DO NOT DELETE'!E90</f>
        <v>0</v>
      </c>
      <c r="C58" s="175" t="str">
        <f>'Equip. Info-DO NOT DELETE'!B90 &amp;" "&amp; 'Equip. Info-DO NOT DELETE'!F90 &amp;" "&amp; 'Equip. Info-DO NOT DELETE'!C90</f>
        <v xml:space="preserve">  </v>
      </c>
      <c r="D58" s="175"/>
      <c r="E58" s="175"/>
      <c r="F58" s="175"/>
      <c r="G58" s="175"/>
      <c r="H58" s="175"/>
      <c r="I58" s="175"/>
      <c r="J58" s="81"/>
      <c r="K58" s="81"/>
    </row>
    <row r="59" spans="1:11" x14ac:dyDescent="0.2">
      <c r="A59" s="78">
        <f>'Equip. Info-DO NOT DELETE'!A91</f>
        <v>0</v>
      </c>
      <c r="B59" s="79">
        <f>'Equip. Info-DO NOT DELETE'!E91</f>
        <v>0</v>
      </c>
      <c r="C59" s="177" t="str">
        <f>'Equip. Info-DO NOT DELETE'!B91 &amp;" "&amp; 'Equip. Info-DO NOT DELETE'!F91 &amp;" "&amp; 'Equip. Info-DO NOT DELETE'!C91</f>
        <v xml:space="preserve">  </v>
      </c>
      <c r="D59" s="177"/>
      <c r="E59" s="177"/>
      <c r="F59" s="177"/>
      <c r="G59" s="177"/>
      <c r="H59" s="177"/>
      <c r="I59" s="177"/>
      <c r="J59" s="55"/>
      <c r="K59" s="55"/>
    </row>
    <row r="60" spans="1:11" x14ac:dyDescent="0.2">
      <c r="A60" s="76">
        <f>'Equip. Info-DO NOT DELETE'!A92</f>
        <v>0</v>
      </c>
      <c r="B60" s="77">
        <f>'Equip. Info-DO NOT DELETE'!E92</f>
        <v>0</v>
      </c>
      <c r="C60" s="175" t="str">
        <f>'Equip. Info-DO NOT DELETE'!B92 &amp;" "&amp; 'Equip. Info-DO NOT DELETE'!F92 &amp;" "&amp; 'Equip. Info-DO NOT DELETE'!C92</f>
        <v xml:space="preserve">  </v>
      </c>
      <c r="D60" s="175"/>
      <c r="E60" s="175"/>
      <c r="F60" s="175"/>
      <c r="G60" s="175"/>
      <c r="H60" s="175"/>
      <c r="I60" s="175"/>
      <c r="J60" s="81"/>
      <c r="K60" s="81"/>
    </row>
    <row r="61" spans="1:11" x14ac:dyDescent="0.2">
      <c r="A61" s="78">
        <f>'Equip. Info-DO NOT DELETE'!A93</f>
        <v>0</v>
      </c>
      <c r="B61" s="79">
        <f>'Equip. Info-DO NOT DELETE'!E93</f>
        <v>0</v>
      </c>
      <c r="C61" s="177" t="str">
        <f>'Equip. Info-DO NOT DELETE'!B93 &amp;" "&amp; 'Equip. Info-DO NOT DELETE'!F93 &amp;" "&amp; 'Equip. Info-DO NOT DELETE'!C93</f>
        <v xml:space="preserve">  </v>
      </c>
      <c r="D61" s="177"/>
      <c r="E61" s="177"/>
      <c r="F61" s="177"/>
      <c r="G61" s="177"/>
      <c r="H61" s="177"/>
      <c r="I61" s="177"/>
      <c r="J61" s="55"/>
      <c r="K61" s="55"/>
    </row>
    <row r="62" spans="1:11" x14ac:dyDescent="0.2">
      <c r="A62" s="76">
        <f>'Equip. Info-DO NOT DELETE'!A94</f>
        <v>0</v>
      </c>
      <c r="B62" s="77">
        <f>'Equip. Info-DO NOT DELETE'!E94</f>
        <v>0</v>
      </c>
      <c r="C62" s="175" t="str">
        <f>'Equip. Info-DO NOT DELETE'!B94 &amp;" "&amp; 'Equip. Info-DO NOT DELETE'!F94 &amp;" "&amp; 'Equip. Info-DO NOT DELETE'!C94</f>
        <v xml:space="preserve">  </v>
      </c>
      <c r="D62" s="175"/>
      <c r="E62" s="175"/>
      <c r="F62" s="175"/>
      <c r="G62" s="175"/>
      <c r="H62" s="175"/>
      <c r="I62" s="175"/>
      <c r="J62" s="81"/>
      <c r="K62" s="81"/>
    </row>
    <row r="63" spans="1:11" x14ac:dyDescent="0.2">
      <c r="A63" s="78">
        <f>'Equip. Info-DO NOT DELETE'!A95</f>
        <v>0</v>
      </c>
      <c r="B63" s="79">
        <f>'Equip. Info-DO NOT DELETE'!E95</f>
        <v>0</v>
      </c>
      <c r="C63" s="177" t="str">
        <f>'Equip. Info-DO NOT DELETE'!B95 &amp;" "&amp; 'Equip. Info-DO NOT DELETE'!F95 &amp;" "&amp; 'Equip. Info-DO NOT DELETE'!C95</f>
        <v xml:space="preserve">  </v>
      </c>
      <c r="D63" s="177"/>
      <c r="E63" s="177"/>
      <c r="F63" s="177"/>
      <c r="G63" s="177"/>
      <c r="H63" s="177"/>
      <c r="I63" s="177"/>
      <c r="J63" s="55"/>
      <c r="K63" s="55"/>
    </row>
    <row r="64" spans="1:11" x14ac:dyDescent="0.2">
      <c r="A64" s="76">
        <f>'Equip. Info-DO NOT DELETE'!A96</f>
        <v>0</v>
      </c>
      <c r="B64" s="77">
        <f>'Equip. Info-DO NOT DELETE'!E96</f>
        <v>0</v>
      </c>
      <c r="C64" s="175" t="str">
        <f>'Equip. Info-DO NOT DELETE'!B96 &amp;" "&amp; 'Equip. Info-DO NOT DELETE'!F96 &amp;" "&amp; 'Equip. Info-DO NOT DELETE'!C96</f>
        <v xml:space="preserve">  </v>
      </c>
      <c r="D64" s="175"/>
      <c r="E64" s="175"/>
      <c r="F64" s="175"/>
      <c r="G64" s="175"/>
      <c r="H64" s="175"/>
      <c r="I64" s="175"/>
      <c r="J64" s="81"/>
      <c r="K64" s="81"/>
    </row>
    <row r="65" spans="1:1" x14ac:dyDescent="0.2">
      <c r="A65"/>
    </row>
  </sheetData>
  <mergeCells count="54">
    <mergeCell ref="A1:C7"/>
    <mergeCell ref="C52:I52"/>
    <mergeCell ref="C53:I53"/>
    <mergeCell ref="C54:I54"/>
    <mergeCell ref="C55:I55"/>
    <mergeCell ref="C40:I40"/>
    <mergeCell ref="C41:I41"/>
    <mergeCell ref="C42:I42"/>
    <mergeCell ref="C43:I43"/>
    <mergeCell ref="C30:I30"/>
    <mergeCell ref="C44:I44"/>
    <mergeCell ref="C45:I45"/>
    <mergeCell ref="C31:I31"/>
    <mergeCell ref="C32:I32"/>
    <mergeCell ref="C33:I33"/>
    <mergeCell ref="C34:I34"/>
    <mergeCell ref="C57:I57"/>
    <mergeCell ref="C46:I46"/>
    <mergeCell ref="C47:I47"/>
    <mergeCell ref="C48:I48"/>
    <mergeCell ref="C49:I49"/>
    <mergeCell ref="C50:I50"/>
    <mergeCell ref="C51:I51"/>
    <mergeCell ref="C56:I56"/>
    <mergeCell ref="C35:I35"/>
    <mergeCell ref="C36:I36"/>
    <mergeCell ref="C25:I25"/>
    <mergeCell ref="C26:I26"/>
    <mergeCell ref="C27:I27"/>
    <mergeCell ref="C28:I28"/>
    <mergeCell ref="C29:I29"/>
    <mergeCell ref="C24:I24"/>
    <mergeCell ref="C37:I37"/>
    <mergeCell ref="C38:I38"/>
    <mergeCell ref="C39:I39"/>
    <mergeCell ref="A9:K10"/>
    <mergeCell ref="C13:I13"/>
    <mergeCell ref="C14:I14"/>
    <mergeCell ref="C15:I15"/>
    <mergeCell ref="C16:I16"/>
    <mergeCell ref="C23:I23"/>
    <mergeCell ref="C17:I17"/>
    <mergeCell ref="C18:I18"/>
    <mergeCell ref="C19:I19"/>
    <mergeCell ref="C20:I20"/>
    <mergeCell ref="C21:I21"/>
    <mergeCell ref="C22:I22"/>
    <mergeCell ref="C64:I64"/>
    <mergeCell ref="C58:I58"/>
    <mergeCell ref="C59:I59"/>
    <mergeCell ref="C60:I60"/>
    <mergeCell ref="C61:I61"/>
    <mergeCell ref="C62:I62"/>
    <mergeCell ref="C63:I63"/>
  </mergeCells>
  <phoneticPr fontId="2" type="noConversion"/>
  <pageMargins left="0.15" right="0.15" top="0.15" bottom="0.15" header="0" footer="0"/>
  <pageSetup scale="8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T51"/>
  <sheetViews>
    <sheetView tabSelected="1" view="pageBreakPreview" zoomScale="85" zoomScaleNormal="85" zoomScaleSheetLayoutView="85" workbookViewId="0">
      <selection activeCell="H27" sqref="H27"/>
    </sheetView>
  </sheetViews>
  <sheetFormatPr defaultRowHeight="12.75" x14ac:dyDescent="0.2"/>
  <cols>
    <col min="1" max="1" width="11" customWidth="1"/>
    <col min="2" max="2" width="20.5703125" customWidth="1"/>
    <col min="3" max="3" width="22.28515625" customWidth="1"/>
    <col min="4" max="4" width="4.28515625" customWidth="1"/>
    <col min="5" max="5" width="14.7109375" customWidth="1"/>
    <col min="6" max="6" width="9.5703125" customWidth="1"/>
    <col min="7" max="7" width="14.5703125" customWidth="1"/>
    <col min="8" max="8" width="28" customWidth="1"/>
    <col min="9" max="9" width="12.7109375" bestFit="1" customWidth="1"/>
  </cols>
  <sheetData>
    <row r="1" spans="1:20" s="2" customFormat="1" x14ac:dyDescent="0.2">
      <c r="A1" s="141"/>
      <c r="B1" s="141"/>
      <c r="C1" s="141"/>
      <c r="D1" s="141"/>
      <c r="E1" s="141"/>
      <c r="F1" s="141"/>
      <c r="G1" s="141"/>
      <c r="H1" s="141"/>
      <c r="I1"/>
      <c r="J1"/>
      <c r="K1"/>
      <c r="L1"/>
      <c r="M1"/>
      <c r="N1"/>
      <c r="O1"/>
      <c r="P1"/>
      <c r="Q1"/>
      <c r="R1"/>
      <c r="S1"/>
      <c r="T1"/>
    </row>
    <row r="2" spans="1:20" s="2" customFormat="1" x14ac:dyDescent="0.2">
      <c r="A2" s="141"/>
      <c r="B2" s="141"/>
      <c r="C2" s="141"/>
      <c r="D2" s="141"/>
      <c r="E2" s="141"/>
      <c r="F2" s="141"/>
      <c r="G2" s="141"/>
      <c r="H2" s="141"/>
      <c r="I2"/>
      <c r="J2"/>
      <c r="K2"/>
      <c r="L2"/>
      <c r="M2"/>
      <c r="N2"/>
      <c r="O2"/>
      <c r="P2"/>
      <c r="Q2"/>
      <c r="R2"/>
      <c r="S2"/>
      <c r="T2"/>
    </row>
    <row r="3" spans="1:20" s="2" customFormat="1" x14ac:dyDescent="0.2">
      <c r="A3" s="141"/>
      <c r="B3" s="141"/>
      <c r="C3" s="141"/>
      <c r="D3" s="141"/>
      <c r="E3" s="141"/>
      <c r="F3" s="141"/>
      <c r="G3" s="141"/>
      <c r="H3" s="141"/>
      <c r="I3"/>
      <c r="J3"/>
      <c r="K3"/>
      <c r="L3"/>
      <c r="M3"/>
      <c r="N3"/>
      <c r="O3"/>
      <c r="P3"/>
      <c r="Q3"/>
      <c r="R3"/>
      <c r="S3"/>
      <c r="T3"/>
    </row>
    <row r="4" spans="1:20" s="2" customFormat="1" x14ac:dyDescent="0.2">
      <c r="A4" s="141"/>
      <c r="B4" s="141"/>
      <c r="C4" s="141"/>
      <c r="D4" s="141"/>
      <c r="E4" s="141"/>
      <c r="F4" s="141"/>
      <c r="G4" s="141"/>
      <c r="H4" s="141"/>
      <c r="I4"/>
      <c r="J4"/>
      <c r="K4"/>
      <c r="L4"/>
      <c r="M4"/>
      <c r="N4"/>
      <c r="O4"/>
      <c r="P4"/>
      <c r="Q4"/>
      <c r="R4"/>
      <c r="S4"/>
      <c r="T4"/>
    </row>
    <row r="5" spans="1:20" s="2" customFormat="1" x14ac:dyDescent="0.2">
      <c r="A5" s="141"/>
      <c r="B5" s="141"/>
      <c r="C5" s="141"/>
      <c r="D5" s="141"/>
      <c r="E5" s="141"/>
      <c r="F5" s="141"/>
      <c r="G5" s="141"/>
      <c r="H5" s="141"/>
      <c r="I5"/>
      <c r="J5"/>
      <c r="K5"/>
      <c r="L5"/>
      <c r="M5"/>
      <c r="N5"/>
      <c r="O5"/>
      <c r="P5"/>
      <c r="Q5"/>
      <c r="R5"/>
      <c r="S5"/>
      <c r="T5"/>
    </row>
    <row r="6" spans="1:20" s="2" customFormat="1" x14ac:dyDescent="0.2">
      <c r="A6" s="141"/>
      <c r="B6" s="141"/>
      <c r="C6" s="141"/>
      <c r="D6" s="141"/>
      <c r="E6" s="141"/>
      <c r="F6" s="141"/>
      <c r="G6" s="141"/>
      <c r="H6" s="141"/>
      <c r="I6"/>
      <c r="J6"/>
      <c r="K6"/>
      <c r="L6"/>
      <c r="M6"/>
      <c r="N6"/>
      <c r="O6"/>
      <c r="P6"/>
      <c r="Q6"/>
      <c r="R6"/>
      <c r="S6"/>
      <c r="T6"/>
    </row>
    <row r="7" spans="1:20" s="2" customFormat="1" x14ac:dyDescent="0.2">
      <c r="A7" s="141"/>
      <c r="B7" s="141"/>
      <c r="C7" s="141"/>
      <c r="D7" s="141"/>
      <c r="E7" s="141"/>
      <c r="F7" s="141"/>
      <c r="G7" s="141"/>
      <c r="H7" s="141"/>
      <c r="I7"/>
      <c r="J7"/>
      <c r="K7"/>
      <c r="L7"/>
      <c r="M7"/>
      <c r="N7"/>
      <c r="O7"/>
      <c r="P7"/>
      <c r="Q7"/>
      <c r="R7"/>
      <c r="S7"/>
      <c r="T7"/>
    </row>
    <row r="8" spans="1:20" s="2" customFormat="1" ht="12" customHeight="1" x14ac:dyDescent="0.2">
      <c r="I8"/>
      <c r="J8"/>
      <c r="K8"/>
      <c r="L8"/>
      <c r="M8"/>
      <c r="N8"/>
      <c r="O8"/>
      <c r="P8"/>
      <c r="Q8"/>
      <c r="R8"/>
      <c r="S8"/>
      <c r="T8"/>
    </row>
    <row r="9" spans="1:20" s="2" customFormat="1" ht="41.25" customHeight="1" x14ac:dyDescent="0.2">
      <c r="A9" s="145" t="s">
        <v>125</v>
      </c>
      <c r="B9" s="145"/>
      <c r="C9" s="145"/>
      <c r="D9" s="145"/>
      <c r="E9" s="145"/>
      <c r="F9" s="145"/>
      <c r="G9" s="145"/>
      <c r="H9" s="145"/>
      <c r="I9"/>
      <c r="J9"/>
      <c r="K9"/>
      <c r="L9"/>
      <c r="M9"/>
      <c r="N9"/>
      <c r="O9"/>
      <c r="P9"/>
      <c r="Q9"/>
      <c r="R9"/>
      <c r="S9"/>
      <c r="T9"/>
    </row>
    <row r="10" spans="1:20" s="2" customFormat="1" ht="16.5" customHeight="1" x14ac:dyDescent="0.35">
      <c r="A10" s="37"/>
      <c r="B10" s="37"/>
      <c r="C10" s="37"/>
      <c r="D10" s="37"/>
      <c r="E10" s="37"/>
      <c r="F10" s="37"/>
      <c r="G10" s="37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 s="2" customFormat="1" x14ac:dyDescent="0.2">
      <c r="G11" s="83" t="s">
        <v>17</v>
      </c>
      <c r="H11" s="199">
        <v>45407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 x14ac:dyDescent="0.2">
      <c r="A12" s="2"/>
      <c r="B12" s="2"/>
      <c r="C12" s="2"/>
      <c r="D12" s="2"/>
      <c r="E12" s="2"/>
      <c r="F12" s="2"/>
      <c r="G12" s="2"/>
      <c r="H12" s="2"/>
    </row>
    <row r="13" spans="1:20" ht="21.75" customHeight="1" x14ac:dyDescent="0.2">
      <c r="A13" s="187" t="s">
        <v>127</v>
      </c>
      <c r="B13" s="187"/>
      <c r="C13" s="187"/>
      <c r="D13" s="46"/>
      <c r="E13" s="188" t="s">
        <v>88</v>
      </c>
      <c r="F13" s="188"/>
      <c r="G13" s="188"/>
      <c r="H13" s="188"/>
    </row>
    <row r="14" spans="1:20" ht="21.75" customHeight="1" x14ac:dyDescent="0.2">
      <c r="A14" s="179" t="s">
        <v>126</v>
      </c>
      <c r="B14" s="179"/>
      <c r="C14" s="189"/>
      <c r="D14" s="103"/>
      <c r="E14" s="179" t="s">
        <v>216</v>
      </c>
      <c r="F14" s="179"/>
      <c r="G14" s="192"/>
      <c r="H14" s="192"/>
    </row>
    <row r="15" spans="1:20" ht="21.75" customHeight="1" x14ac:dyDescent="0.2">
      <c r="A15" s="179" t="s">
        <v>223</v>
      </c>
      <c r="B15" s="179"/>
      <c r="C15" s="189"/>
      <c r="D15" s="103"/>
      <c r="E15" s="179" t="s">
        <v>218</v>
      </c>
      <c r="F15" s="179"/>
      <c r="G15" s="193"/>
      <c r="H15" s="194"/>
    </row>
    <row r="16" spans="1:20" ht="21.75" customHeight="1" x14ac:dyDescent="0.2">
      <c r="A16" s="179" t="s">
        <v>129</v>
      </c>
      <c r="B16" s="179"/>
      <c r="C16" s="190"/>
      <c r="D16" s="103"/>
      <c r="E16" s="179" t="s">
        <v>220</v>
      </c>
      <c r="F16" s="179"/>
      <c r="G16" s="193"/>
      <c r="H16" s="194"/>
    </row>
    <row r="17" spans="1:20" ht="21.75" customHeight="1" x14ac:dyDescent="0.2">
      <c r="A17" s="179" t="s">
        <v>128</v>
      </c>
      <c r="B17" s="179"/>
      <c r="C17" s="190"/>
      <c r="D17" s="103"/>
      <c r="E17" s="179" t="s">
        <v>221</v>
      </c>
      <c r="F17" s="179"/>
      <c r="G17" s="193"/>
      <c r="H17" s="194"/>
    </row>
    <row r="18" spans="1:20" ht="21.75" customHeight="1" x14ac:dyDescent="0.2">
      <c r="A18" s="179" t="s">
        <v>130</v>
      </c>
      <c r="B18" s="179"/>
      <c r="C18" s="191"/>
      <c r="D18" s="103"/>
      <c r="E18" s="179" t="s">
        <v>21</v>
      </c>
      <c r="F18" s="179"/>
      <c r="G18" s="193"/>
      <c r="H18" s="194"/>
    </row>
    <row r="19" spans="1:20" ht="21.75" customHeight="1" x14ac:dyDescent="0.2">
      <c r="A19" s="179" t="s">
        <v>219</v>
      </c>
      <c r="B19" s="179"/>
      <c r="C19" s="191"/>
      <c r="D19" s="103"/>
      <c r="E19" s="185" t="s">
        <v>215</v>
      </c>
      <c r="F19" s="186"/>
      <c r="G19" s="195"/>
      <c r="H19" s="196"/>
    </row>
    <row r="20" spans="1:20" ht="21.75" customHeight="1" x14ac:dyDescent="0.2">
      <c r="A20" s="179" t="s">
        <v>131</v>
      </c>
      <c r="B20" s="179"/>
      <c r="C20" s="190"/>
      <c r="D20" s="103"/>
      <c r="E20" s="179" t="s">
        <v>84</v>
      </c>
      <c r="F20" s="179"/>
      <c r="G20" s="192"/>
      <c r="H20" s="192"/>
    </row>
    <row r="21" spans="1:20" ht="21.75" customHeight="1" x14ac:dyDescent="0.2">
      <c r="A21" s="184"/>
      <c r="B21" s="184"/>
      <c r="C21" s="117"/>
      <c r="D21" s="103"/>
      <c r="E21" s="179" t="s">
        <v>217</v>
      </c>
      <c r="F21" s="179"/>
      <c r="G21" s="197"/>
      <c r="H21" s="192"/>
    </row>
    <row r="22" spans="1:20" ht="21.75" customHeight="1" x14ac:dyDescent="0.2">
      <c r="A22" s="117"/>
      <c r="B22" s="117"/>
      <c r="C22" s="117"/>
      <c r="D22" s="103"/>
      <c r="E22" s="179" t="s">
        <v>214</v>
      </c>
      <c r="F22" s="179"/>
      <c r="G22" s="197"/>
      <c r="H22" s="192"/>
    </row>
    <row r="23" spans="1:20" ht="21.75" customHeight="1" x14ac:dyDescent="0.2">
      <c r="A23" s="117"/>
      <c r="B23" s="117"/>
      <c r="C23" s="117"/>
      <c r="D23" s="103"/>
      <c r="E23" s="117"/>
      <c r="F23" s="117"/>
      <c r="G23" s="118"/>
      <c r="H23" s="117"/>
    </row>
    <row r="24" spans="1:20" s="22" customFormat="1" ht="16.5" x14ac:dyDescent="0.25">
      <c r="A24" s="102"/>
      <c r="B24" s="102"/>
      <c r="C24" s="47"/>
      <c r="D24" s="102"/>
      <c r="E24" s="102"/>
      <c r="F24" s="102"/>
      <c r="G24" s="102"/>
      <c r="H24" s="102"/>
      <c r="I24"/>
      <c r="J24"/>
      <c r="K24"/>
      <c r="L24"/>
      <c r="M24"/>
      <c r="N24"/>
      <c r="O24"/>
      <c r="P24"/>
      <c r="Q24"/>
      <c r="R24"/>
      <c r="S24"/>
      <c r="T24"/>
    </row>
    <row r="25" spans="1:20" s="25" customFormat="1" ht="16.5" customHeight="1" x14ac:dyDescent="0.3">
      <c r="A25" s="183">
        <f>G14</f>
        <v>0</v>
      </c>
      <c r="B25" s="183"/>
      <c r="C25" s="183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s="25" customFormat="1" ht="16.5" customHeight="1" x14ac:dyDescent="0.3">
      <c r="A26" s="183">
        <f>G15</f>
        <v>0</v>
      </c>
      <c r="B26" s="183"/>
      <c r="C26" s="183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s="25" customFormat="1" ht="16.5" customHeight="1" x14ac:dyDescent="0.3">
      <c r="A27" s="198" t="s">
        <v>224</v>
      </c>
      <c r="B27" s="198"/>
      <c r="C27" s="19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s="25" customFormat="1" ht="16.5" customHeight="1" x14ac:dyDescent="0.3">
      <c r="A28" s="113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s="25" customFormat="1" ht="16.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s="25" customFormat="1" ht="16.5" customHeight="1" x14ac:dyDescent="0.3">
      <c r="A30" s="114" t="s">
        <v>170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s="25" customFormat="1" ht="16.5" customHeight="1" x14ac:dyDescent="0.3">
      <c r="A31" s="11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s="25" customFormat="1" ht="16.5" customHeight="1" x14ac:dyDescent="0.3">
      <c r="A32" s="181" t="s">
        <v>222</v>
      </c>
      <c r="B32" s="181"/>
      <c r="C32" s="181"/>
      <c r="D32" s="181"/>
      <c r="E32" s="182">
        <f>C16</f>
        <v>0</v>
      </c>
      <c r="F32" s="182"/>
      <c r="G32" s="183" t="s">
        <v>225</v>
      </c>
      <c r="H32" s="183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 s="25" customFormat="1" ht="16.5" customHeight="1" x14ac:dyDescent="0.3">
      <c r="A33" s="114" t="s">
        <v>226</v>
      </c>
      <c r="B33" s="114"/>
      <c r="C33" s="114"/>
      <c r="D33" s="180">
        <f>G19</f>
        <v>0</v>
      </c>
      <c r="E33" s="180"/>
      <c r="F33" s="180"/>
      <c r="G33" s="114" t="s">
        <v>225</v>
      </c>
      <c r="H33" s="114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s="25" customFormat="1" ht="16.5" customHeight="1" x14ac:dyDescent="0.3">
      <c r="A34" s="115"/>
      <c r="B34" s="114"/>
      <c r="C34" s="114"/>
      <c r="D34" s="114"/>
      <c r="E34" s="114"/>
      <c r="F34" s="114"/>
      <c r="G34" s="114"/>
      <c r="H34" s="114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s="25" customFormat="1" ht="16.5" customHeight="1" x14ac:dyDescent="0.3">
      <c r="A35" s="116" t="s">
        <v>213</v>
      </c>
      <c r="B35" s="114"/>
      <c r="C35" s="114"/>
      <c r="D35" s="114"/>
      <c r="E35" s="114"/>
      <c r="F35" s="114"/>
      <c r="G35" s="114"/>
      <c r="H35" s="114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25" customFormat="1" ht="16.5" customHeight="1" x14ac:dyDescent="0.3">
      <c r="A36" s="116"/>
      <c r="B36" s="114"/>
      <c r="C36" s="114"/>
      <c r="D36" s="114"/>
      <c r="E36" s="114"/>
      <c r="F36" s="114"/>
      <c r="G36" s="114"/>
      <c r="H36" s="114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s="25" customFormat="1" ht="16.5" customHeight="1" x14ac:dyDescent="0.3">
      <c r="A37" s="28" t="s">
        <v>212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1:20" s="25" customFormat="1" ht="16.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spans="1:20" s="28" customFormat="1" ht="16.5" customHeight="1" x14ac:dyDescent="0.2">
      <c r="A39" s="114" t="s">
        <v>132</v>
      </c>
    </row>
    <row r="40" spans="1:20" s="28" customFormat="1" ht="16.5" customHeight="1" x14ac:dyDescent="0.2">
      <c r="A40" s="114"/>
    </row>
    <row r="41" spans="1:20" s="28" customFormat="1" ht="16.5" customHeight="1" x14ac:dyDescent="0.2">
      <c r="A41" s="114"/>
    </row>
    <row r="42" spans="1:20" s="28" customFormat="1" ht="16.5" customHeight="1" x14ac:dyDescent="0.2">
      <c r="A42" s="114"/>
    </row>
    <row r="43" spans="1:20" s="28" customFormat="1" ht="16.5" customHeight="1" x14ac:dyDescent="0.2">
      <c r="A43" s="114"/>
    </row>
    <row r="44" spans="1:20" s="28" customFormat="1" ht="16.5" customHeight="1" x14ac:dyDescent="0.2">
      <c r="A44" s="119">
        <f>G18</f>
        <v>0</v>
      </c>
    </row>
    <row r="45" spans="1:20" s="28" customFormat="1" ht="16.5" customHeight="1" x14ac:dyDescent="0.2">
      <c r="A45" s="28">
        <f>A25</f>
        <v>0</v>
      </c>
    </row>
    <row r="46" spans="1:20" ht="16.5" x14ac:dyDescent="0.25">
      <c r="A46" s="47"/>
      <c r="B46" s="47"/>
      <c r="C46" s="47"/>
      <c r="D46" s="47"/>
      <c r="E46" s="47"/>
      <c r="F46" s="47"/>
      <c r="G46" s="47"/>
      <c r="H46" s="47"/>
    </row>
    <row r="47" spans="1:20" ht="16.5" x14ac:dyDescent="0.25">
      <c r="A47" s="47"/>
      <c r="B47" s="47"/>
      <c r="C47" s="47"/>
      <c r="D47" s="47"/>
      <c r="E47" s="47"/>
      <c r="F47" s="47"/>
      <c r="G47" s="47"/>
      <c r="H47" s="47"/>
    </row>
    <row r="48" spans="1:20" ht="16.5" x14ac:dyDescent="0.25">
      <c r="A48" s="47"/>
      <c r="B48" s="47"/>
      <c r="C48" s="47"/>
      <c r="D48" s="47"/>
      <c r="E48" s="47"/>
      <c r="F48" s="47"/>
      <c r="G48" s="47"/>
      <c r="H48" s="47"/>
    </row>
    <row r="49" spans="1:8" ht="15" x14ac:dyDescent="0.2">
      <c r="A49" s="27"/>
      <c r="B49" s="27"/>
      <c r="C49" s="27"/>
      <c r="D49" s="27"/>
      <c r="E49" s="27"/>
      <c r="F49" s="27"/>
      <c r="G49" s="27"/>
      <c r="H49" s="27"/>
    </row>
    <row r="50" spans="1:8" ht="15" x14ac:dyDescent="0.2">
      <c r="A50" s="27"/>
      <c r="B50" s="27"/>
      <c r="C50" s="27"/>
      <c r="D50" s="27"/>
      <c r="E50" s="27"/>
      <c r="F50" s="27"/>
      <c r="G50" s="27"/>
      <c r="H50" s="27"/>
    </row>
    <row r="51" spans="1:8" x14ac:dyDescent="0.2">
      <c r="A51" s="19"/>
      <c r="B51" s="19"/>
      <c r="C51" s="19"/>
      <c r="D51" s="19"/>
      <c r="E51" s="19"/>
      <c r="F51" s="19"/>
      <c r="G51" s="19"/>
      <c r="H51" s="19"/>
    </row>
  </sheetData>
  <mergeCells count="37">
    <mergeCell ref="A1:H7"/>
    <mergeCell ref="A9:H9"/>
    <mergeCell ref="E19:F19"/>
    <mergeCell ref="A14:B14"/>
    <mergeCell ref="A15:B15"/>
    <mergeCell ref="A16:B16"/>
    <mergeCell ref="G14:H14"/>
    <mergeCell ref="A13:C13"/>
    <mergeCell ref="E13:H13"/>
    <mergeCell ref="E14:F14"/>
    <mergeCell ref="E15:F15"/>
    <mergeCell ref="E16:F16"/>
    <mergeCell ref="A17:B17"/>
    <mergeCell ref="A18:B18"/>
    <mergeCell ref="A19:B19"/>
    <mergeCell ref="G17:H17"/>
    <mergeCell ref="A27:C27"/>
    <mergeCell ref="A26:C26"/>
    <mergeCell ref="A25:C25"/>
    <mergeCell ref="E22:F22"/>
    <mergeCell ref="G22:H22"/>
    <mergeCell ref="E17:F17"/>
    <mergeCell ref="E20:F20"/>
    <mergeCell ref="G15:H15"/>
    <mergeCell ref="G16:H16"/>
    <mergeCell ref="D33:F33"/>
    <mergeCell ref="A32:D32"/>
    <mergeCell ref="E32:F32"/>
    <mergeCell ref="G32:H32"/>
    <mergeCell ref="G21:H21"/>
    <mergeCell ref="E21:F21"/>
    <mergeCell ref="E18:F18"/>
    <mergeCell ref="G19:H19"/>
    <mergeCell ref="A21:B21"/>
    <mergeCell ref="A20:B20"/>
    <mergeCell ref="G20:H20"/>
    <mergeCell ref="G18:H18"/>
  </mergeCells>
  <phoneticPr fontId="0" type="noConversion"/>
  <printOptions horizontalCentered="1"/>
  <pageMargins left="0.12" right="0.12" top="0.15" bottom="0.15" header="0" footer="0"/>
  <pageSetup scale="8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D98D137F2EB438569508D2629D77D" ma:contentTypeVersion="18" ma:contentTypeDescription="Create a new document." ma:contentTypeScope="" ma:versionID="68242f6658ec6e5aca6347ba99b50ece">
  <xsd:schema xmlns:xsd="http://www.w3.org/2001/XMLSchema" xmlns:xs="http://www.w3.org/2001/XMLSchema" xmlns:p="http://schemas.microsoft.com/office/2006/metadata/properties" xmlns:ns2="91121d69-4c9b-4bf3-b6cd-f8eb5cfaa405" xmlns:ns3="ed90f486-6f4c-4f61-bdb9-8dda9b98aec5" targetNamespace="http://schemas.microsoft.com/office/2006/metadata/properties" ma:root="true" ma:fieldsID="44bbdf75e0febf77905aa858fe07bbdd" ns2:_="" ns3:_="">
    <xsd:import namespace="91121d69-4c9b-4bf3-b6cd-f8eb5cfaa405"/>
    <xsd:import namespace="ed90f486-6f4c-4f61-bdb9-8dda9b98aec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21d69-4c9b-4bf3-b6cd-f8eb5cfaa4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102d240-759a-480a-af66-d9e9a5dd30a1}" ma:internalName="TaxCatchAll" ma:showField="CatchAllData" ma:web="91121d69-4c9b-4bf3-b6cd-f8eb5cfaa4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0f486-6f4c-4f61-bdb9-8dda9b98a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9525313-9af2-4291-ae63-b9c65881e1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0f486-6f4c-4f61-bdb9-8dda9b98aec5">
      <Terms xmlns="http://schemas.microsoft.com/office/infopath/2007/PartnerControls"/>
    </lcf76f155ced4ddcb4097134ff3c332f>
    <TaxCatchAll xmlns="91121d69-4c9b-4bf3-b6cd-f8eb5cfaa405" xsi:nil="true"/>
  </documentManagement>
</p:properties>
</file>

<file path=customXml/itemProps1.xml><?xml version="1.0" encoding="utf-8"?>
<ds:datastoreItem xmlns:ds="http://schemas.openxmlformats.org/officeDocument/2006/customXml" ds:itemID="{3BC011E8-2EB5-4266-9499-62A21898D9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800AD7-2323-43AA-BABA-E108645E2AB4}"/>
</file>

<file path=customXml/itemProps3.xml><?xml version="1.0" encoding="utf-8"?>
<ds:datastoreItem xmlns:ds="http://schemas.openxmlformats.org/officeDocument/2006/customXml" ds:itemID="{6AF533AD-F75E-4346-A2B1-7F3C991E9B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82</vt:i4>
      </vt:variant>
    </vt:vector>
  </HeadingPairs>
  <TitlesOfParts>
    <vt:vector size="88" baseType="lpstr">
      <vt:lpstr>Checklist</vt:lpstr>
      <vt:lpstr>Account Info-DO NOT DELETE</vt:lpstr>
      <vt:lpstr>Equip. Info-DO NOT DELETE</vt:lpstr>
      <vt:lpstr>Financial Info-DO NOT DELETE</vt:lpstr>
      <vt:lpstr>Sales Order Add.</vt:lpstr>
      <vt:lpstr>Letter of Intent</vt:lpstr>
      <vt:lpstr>accitem</vt:lpstr>
      <vt:lpstr>addcharges</vt:lpstr>
      <vt:lpstr>address</vt:lpstr>
      <vt:lpstr>addressste</vt:lpstr>
      <vt:lpstr>base</vt:lpstr>
      <vt:lpstr>basecolor</vt:lpstr>
      <vt:lpstr>billaddress</vt:lpstr>
      <vt:lpstr>billcity</vt:lpstr>
      <vt:lpstr>billcontact</vt:lpstr>
      <vt:lpstr>billemail</vt:lpstr>
      <vt:lpstr>billfax</vt:lpstr>
      <vt:lpstr>billname</vt:lpstr>
      <vt:lpstr>billphone</vt:lpstr>
      <vt:lpstr>billstate</vt:lpstr>
      <vt:lpstr>billzip</vt:lpstr>
      <vt:lpstr>city</vt:lpstr>
      <vt:lpstr>clrpntvoladded</vt:lpstr>
      <vt:lpstr>clrprintrate</vt:lpstr>
      <vt:lpstr>clrprintssercharges</vt:lpstr>
      <vt:lpstr>colorcpp</vt:lpstr>
      <vt:lpstr>colorleasepayment</vt:lpstr>
      <vt:lpstr>coloroverage</vt:lpstr>
      <vt:lpstr>colorsaleprice</vt:lpstr>
      <vt:lpstr>companyname</vt:lpstr>
      <vt:lpstr>connectivityfee</vt:lpstr>
      <vt:lpstr>copiercpc</vt:lpstr>
      <vt:lpstr>cost</vt:lpstr>
      <vt:lpstr>CostModel</vt:lpstr>
      <vt:lpstr>county</vt:lpstr>
      <vt:lpstr>csands</vt:lpstr>
      <vt:lpstr>csandspay</vt:lpstr>
      <vt:lpstr>customer_number</vt:lpstr>
      <vt:lpstr>cvolume2</vt:lpstr>
      <vt:lpstr>dealershipaddress</vt:lpstr>
      <vt:lpstr>dealershipcitystatezip</vt:lpstr>
      <vt:lpstr>dealershipname</vt:lpstr>
      <vt:lpstr>description</vt:lpstr>
      <vt:lpstr>DescriptionModel</vt:lpstr>
      <vt:lpstr>emailname</vt:lpstr>
      <vt:lpstr>faxnumber</vt:lpstr>
      <vt:lpstr>installcharges</vt:lpstr>
      <vt:lpstr>item</vt:lpstr>
      <vt:lpstr>leasecompany</vt:lpstr>
      <vt:lpstr>leasemonths</vt:lpstr>
      <vt:lpstr>leasepayment</vt:lpstr>
      <vt:lpstr>leaserate</vt:lpstr>
      <vt:lpstr>leasetype</vt:lpstr>
      <vt:lpstr>modelnum</vt:lpstr>
      <vt:lpstr>ModelNumModel</vt:lpstr>
      <vt:lpstr>overage</vt:lpstr>
      <vt:lpstr>pntvoladded</vt:lpstr>
      <vt:lpstr>postalcode</vt:lpstr>
      <vt:lpstr>preparedby</vt:lpstr>
      <vt:lpstr>'Account Info-DO NOT DELETE'!Print_Area</vt:lpstr>
      <vt:lpstr>'Equip. Info-DO NOT DELETE'!Print_Area</vt:lpstr>
      <vt:lpstr>'Financial Info-DO NOT DELETE'!Print_Area</vt:lpstr>
      <vt:lpstr>printrate</vt:lpstr>
      <vt:lpstr>printssercharges</vt:lpstr>
      <vt:lpstr>productnum</vt:lpstr>
      <vt:lpstr>ProductNumModel</vt:lpstr>
      <vt:lpstr>proposecontact</vt:lpstr>
      <vt:lpstr>quantity</vt:lpstr>
      <vt:lpstr>QuantityModel</vt:lpstr>
      <vt:lpstr>saleprice</vt:lpstr>
      <vt:lpstr>servicesupplyrate</vt:lpstr>
      <vt:lpstr>sku</vt:lpstr>
      <vt:lpstr>SKUModel</vt:lpstr>
      <vt:lpstr>Start</vt:lpstr>
      <vt:lpstr>stateorprovince</vt:lpstr>
      <vt:lpstr>sumbwsvcpayment</vt:lpstr>
      <vt:lpstr>sumcolorsvcpayment</vt:lpstr>
      <vt:lpstr>sumgpmargin</vt:lpstr>
      <vt:lpstr>sumgrossprofit</vt:lpstr>
      <vt:lpstr>sumleasepayment</vt:lpstr>
      <vt:lpstr>sumsaleprice</vt:lpstr>
      <vt:lpstr>sumtotalpayment</vt:lpstr>
      <vt:lpstr>sumtotrevenue</vt:lpstr>
      <vt:lpstr>totalratepayment</vt:lpstr>
      <vt:lpstr>unitmsrp</vt:lpstr>
      <vt:lpstr>UnitMSRPModel</vt:lpstr>
      <vt:lpstr>volume2</vt:lpstr>
      <vt:lpstr>workphone</vt:lpstr>
    </vt:vector>
  </TitlesOfParts>
  <Company>GRC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Ross</dc:creator>
  <cp:lastModifiedBy>Stephen Ross</cp:lastModifiedBy>
  <cp:lastPrinted>2025-04-02T17:53:03Z</cp:lastPrinted>
  <dcterms:created xsi:type="dcterms:W3CDTF">2006-01-20T16:10:19Z</dcterms:created>
  <dcterms:modified xsi:type="dcterms:W3CDTF">2025-06-24T18:52:25Z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0x010100690D98D137F2EB438569508D2629D77D</vt:lpwstr>
  </property>
</Properties>
</file>